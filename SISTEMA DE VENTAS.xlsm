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Clase Grupo 2 excel Intermedio\"/>
    </mc:Choice>
  </mc:AlternateContent>
  <xr:revisionPtr revIDLastSave="0" documentId="13_ncr:1_{C19DCFB1-598B-41BE-94E9-E0201FE79B85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MENU" sheetId="3" r:id="rId1"/>
    <sheet name="ventas" sheetId="1" r:id="rId2"/>
    <sheet name="productos" sheetId="2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3" i="1" l="1"/>
  <c r="B23" i="1"/>
  <c r="C23" i="1"/>
  <c r="B22" i="1" l="1"/>
  <c r="C22" i="1"/>
  <c r="B21" i="1"/>
  <c r="C21" i="1"/>
  <c r="A22" i="2"/>
  <c r="A22" i="1" s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" i="1"/>
  <c r="B17" i="1"/>
  <c r="B18" i="1"/>
  <c r="B19" i="1"/>
  <c r="B20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2" i="1"/>
  <c r="A7" i="1"/>
  <c r="A11" i="1"/>
  <c r="A20" i="2"/>
  <c r="A20" i="1" s="1"/>
  <c r="A21" i="2"/>
  <c r="A21" i="1" s="1"/>
  <c r="A18" i="2"/>
  <c r="A18" i="1" s="1"/>
  <c r="A19" i="2"/>
  <c r="A19" i="1" s="1"/>
  <c r="A16" i="2"/>
  <c r="A16" i="1" s="1"/>
  <c r="A17" i="2"/>
  <c r="A17" i="1" s="1"/>
  <c r="A12" i="2"/>
  <c r="A12" i="1" s="1"/>
  <c r="A13" i="2"/>
  <c r="A13" i="1" s="1"/>
  <c r="A14" i="2"/>
  <c r="A14" i="1" s="1"/>
  <c r="A15" i="2"/>
  <c r="A15" i="1" s="1"/>
  <c r="A5" i="2"/>
  <c r="A5" i="1" s="1"/>
  <c r="A6" i="2"/>
  <c r="A6" i="1" s="1"/>
  <c r="A7" i="2"/>
  <c r="A8" i="2"/>
  <c r="A8" i="1" s="1"/>
  <c r="A9" i="2"/>
  <c r="A9" i="1" s="1"/>
  <c r="A10" i="2"/>
  <c r="A10" i="1" s="1"/>
  <c r="A11" i="2"/>
  <c r="A4" i="2"/>
  <c r="A4" i="1" s="1"/>
  <c r="A3" i="2"/>
  <c r="A3" i="1" s="1"/>
  <c r="A2" i="2"/>
  <c r="A2" i="1" s="1"/>
  <c r="H32" i="1" l="1"/>
  <c r="I32" i="1" s="1"/>
  <c r="K32" i="1" s="1"/>
  <c r="H33" i="1"/>
  <c r="I33" i="1" s="1"/>
  <c r="K33" i="1" s="1"/>
  <c r="H34" i="1"/>
  <c r="I34" i="1" s="1"/>
  <c r="K34" i="1" s="1"/>
  <c r="H35" i="1"/>
  <c r="I35" i="1" s="1"/>
  <c r="K35" i="1" s="1"/>
  <c r="H36" i="1"/>
  <c r="I36" i="1" s="1"/>
  <c r="K36" i="1" s="1"/>
  <c r="H37" i="1"/>
  <c r="I37" i="1" s="1"/>
  <c r="K37" i="1" s="1"/>
  <c r="H38" i="1"/>
  <c r="I38" i="1" s="1"/>
  <c r="K38" i="1" s="1"/>
  <c r="H26" i="1"/>
  <c r="I26" i="1" s="1"/>
  <c r="K26" i="1" s="1"/>
  <c r="H39" i="1"/>
  <c r="I39" i="1" s="1"/>
  <c r="K39" i="1" s="1"/>
  <c r="H40" i="1"/>
  <c r="I40" i="1" s="1"/>
  <c r="K40" i="1" s="1"/>
  <c r="H41" i="1"/>
  <c r="I41" i="1" s="1"/>
  <c r="K41" i="1" s="1"/>
  <c r="H42" i="1"/>
  <c r="I42" i="1" s="1"/>
  <c r="K42" i="1" s="1"/>
  <c r="H43" i="1"/>
  <c r="I43" i="1" s="1"/>
  <c r="K43" i="1" s="1"/>
  <c r="H44" i="1"/>
  <c r="I44" i="1" s="1"/>
  <c r="K44" i="1" s="1"/>
  <c r="H45" i="1"/>
  <c r="I45" i="1" s="1"/>
  <c r="K45" i="1" s="1"/>
  <c r="H46" i="1"/>
  <c r="I46" i="1" s="1"/>
  <c r="K46" i="1" s="1"/>
  <c r="H47" i="1"/>
  <c r="I47" i="1" s="1"/>
  <c r="K47" i="1" s="1"/>
  <c r="H48" i="1"/>
  <c r="I48" i="1" s="1"/>
  <c r="K48" i="1" s="1"/>
  <c r="H49" i="1"/>
  <c r="I49" i="1" s="1"/>
  <c r="K49" i="1" s="1"/>
  <c r="H50" i="1"/>
  <c r="I50" i="1" s="1"/>
  <c r="K50" i="1" s="1"/>
  <c r="H51" i="1"/>
  <c r="I51" i="1" s="1"/>
  <c r="K51" i="1" s="1"/>
  <c r="H52" i="1"/>
  <c r="I52" i="1" s="1"/>
  <c r="K52" i="1" s="1"/>
  <c r="H53" i="1"/>
  <c r="I53" i="1" s="1"/>
  <c r="K53" i="1" s="1"/>
  <c r="H54" i="1"/>
  <c r="I54" i="1" s="1"/>
  <c r="K54" i="1" s="1"/>
  <c r="H55" i="1"/>
  <c r="I55" i="1" s="1"/>
  <c r="K55" i="1" s="1"/>
  <c r="H56" i="1"/>
  <c r="I56" i="1" s="1"/>
  <c r="K56" i="1" s="1"/>
  <c r="H58" i="1"/>
  <c r="I58" i="1" s="1"/>
  <c r="K58" i="1" s="1"/>
  <c r="H57" i="1"/>
  <c r="I57" i="1" s="1"/>
  <c r="K57" i="1" s="1"/>
  <c r="H59" i="1"/>
  <c r="I59" i="1" s="1"/>
  <c r="K59" i="1" s="1"/>
  <c r="H60" i="1"/>
  <c r="I60" i="1" s="1"/>
  <c r="K60" i="1" s="1"/>
  <c r="H61" i="1"/>
  <c r="I61" i="1" s="1"/>
  <c r="K61" i="1" s="1"/>
  <c r="H62" i="1"/>
  <c r="I62" i="1" s="1"/>
  <c r="K62" i="1" s="1"/>
  <c r="H63" i="1"/>
  <c r="I63" i="1" s="1"/>
  <c r="K63" i="1" s="1"/>
  <c r="H64" i="1"/>
  <c r="I64" i="1" s="1"/>
  <c r="K64" i="1" s="1"/>
  <c r="H65" i="1"/>
  <c r="I65" i="1" s="1"/>
  <c r="K65" i="1" s="1"/>
  <c r="H66" i="1"/>
  <c r="I66" i="1" s="1"/>
  <c r="K66" i="1" s="1"/>
  <c r="H67" i="1"/>
  <c r="I67" i="1" s="1"/>
  <c r="K67" i="1" s="1"/>
  <c r="H68" i="1"/>
  <c r="I68" i="1" s="1"/>
  <c r="K68" i="1" s="1"/>
  <c r="H69" i="1"/>
  <c r="I69" i="1" s="1"/>
  <c r="K69" i="1" s="1"/>
  <c r="H70" i="1"/>
  <c r="I70" i="1" s="1"/>
  <c r="K70" i="1" s="1"/>
  <c r="H71" i="1"/>
  <c r="I71" i="1" s="1"/>
  <c r="K71" i="1" s="1"/>
  <c r="H72" i="1"/>
  <c r="I72" i="1" s="1"/>
  <c r="K72" i="1" s="1"/>
  <c r="N20" i="1" l="1"/>
</calcChain>
</file>

<file path=xl/sharedStrings.xml><?xml version="1.0" encoding="utf-8"?>
<sst xmlns="http://schemas.openxmlformats.org/spreadsheetml/2006/main" count="65" uniqueCount="38">
  <si>
    <t>ID</t>
  </si>
  <si>
    <t>CONCEPTO</t>
  </si>
  <si>
    <t>PRECIO</t>
  </si>
  <si>
    <t>ULTIMAS VENTAS</t>
  </si>
  <si>
    <t>CANTIDAD</t>
  </si>
  <si>
    <t>TOTAL</t>
  </si>
  <si>
    <t>CAJA DE GALLETAS</t>
  </si>
  <si>
    <t>BOTELLA DE AGUA</t>
  </si>
  <si>
    <t>GEL DE CABELLO</t>
  </si>
  <si>
    <t>AZUCAR</t>
  </si>
  <si>
    <t>ACEITE</t>
  </si>
  <si>
    <t>ARROZ</t>
  </si>
  <si>
    <t>LECHE AGRIA</t>
  </si>
  <si>
    <t>AGUACATE</t>
  </si>
  <si>
    <t>LAPICERO</t>
  </si>
  <si>
    <t>CAJA DE JUGO</t>
  </si>
  <si>
    <t>PASTA DE DIENTES</t>
  </si>
  <si>
    <t>JABON DE LAVAR ROPA</t>
  </si>
  <si>
    <t>ETAPAS DEL PROCESO DE VENTAS</t>
  </si>
  <si>
    <t>INGRESO DE DATOS (INVENTARIO, PRECIOS, DESCRIPCION Y CODIGO)</t>
  </si>
  <si>
    <t>PROCESAMIENTO DE LOS DATOS (FORMULAS, CALCULOS MATEMATICOS ETC)</t>
  </si>
  <si>
    <t>CONSULTA DE LA INFORMACION(RESUMEN , INFORME Y GRAFICOS)</t>
  </si>
  <si>
    <t xml:space="preserve">SHAMPOO </t>
  </si>
  <si>
    <t>BATERIAS AAA</t>
  </si>
  <si>
    <t>MANGO</t>
  </si>
  <si>
    <t>SAL</t>
  </si>
  <si>
    <t>BORRADOR DE GOMA</t>
  </si>
  <si>
    <t>HUEVOS</t>
  </si>
  <si>
    <t>CREMA PARA CALZADO</t>
  </si>
  <si>
    <t>CEBOLLA</t>
  </si>
  <si>
    <t>SECCION DE VENTAS</t>
  </si>
  <si>
    <t>CAFÉ</t>
  </si>
  <si>
    <t>|</t>
  </si>
  <si>
    <t>Etiquetas de fila</t>
  </si>
  <si>
    <t>(en blanco)</t>
  </si>
  <si>
    <t>Total general</t>
  </si>
  <si>
    <t>Suma de CANTIDAD</t>
  </si>
  <si>
    <t>MAIZENA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</si>
</sst>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C$&quot;#,##0.0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Times New Roman"/>
      <family val="1"/>
    </font>
    <font>
      <b/>
      <sz val="11"/>
      <color theme="0"/>
      <name val="Tw Cen MT Condensed Extra Bold"/>
      <family val="2"/>
    </font>
    <font>
      <b/>
      <sz val="20"/>
      <color theme="0"/>
      <name val="Aharoni"/>
      <charset val="177"/>
    </font>
    <font>
      <b/>
      <sz val="20"/>
      <color theme="1"/>
      <name val="Aharoni"/>
      <charset val="177"/>
    </font>
    <font>
      <sz val="11"/>
      <color theme="1"/>
      <name val="Aharoni"/>
      <charset val="177"/>
    </font>
    <font>
      <sz val="11"/>
      <color theme="1"/>
      <name val="Arial Black"/>
      <family val="2"/>
    </font>
    <font>
      <sz val="11"/>
      <color rgb="FF002060"/>
      <name val="Arial Black"/>
      <family val="2"/>
    </font>
    <font>
      <sz val="11"/>
      <color rgb="FF7030A0"/>
      <name val="Arial Black"/>
      <family val="2"/>
    </font>
    <font>
      <sz val="11"/>
      <color rgb="FF00B050"/>
      <name val="Arial Black"/>
      <family val="2"/>
    </font>
    <font>
      <b/>
      <sz val="11"/>
      <color rgb="FF7030A0"/>
      <name val="Arial"/>
      <family val="2"/>
    </font>
    <font>
      <b/>
      <sz val="11"/>
      <color theme="0"/>
      <name val="Arial Narrow"/>
      <family val="2"/>
    </font>
    <font>
      <sz val="11"/>
      <color theme="0"/>
      <name val="Aharoni"/>
      <charset val="177"/>
    </font>
  </fonts>
  <fills count="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/>
    <xf numFmtId="0" fontId="3" fillId="3" borderId="1" xfId="0" applyFont="1" applyFill="1" applyBorder="1" applyAlignment="1">
      <alignment horizontal="left"/>
    </xf>
    <xf numFmtId="164" fontId="3" fillId="4" borderId="1" xfId="0" applyNumberFormat="1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164" fontId="12" fillId="0" borderId="1" xfId="0" applyNumberFormat="1" applyFon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7" fillId="0" borderId="0" xfId="0" applyFont="1"/>
    <xf numFmtId="0" fontId="5" fillId="4" borderId="2" xfId="0" applyFont="1" applyFill="1" applyBorder="1" applyAlignment="1">
      <alignment horizontal="center"/>
    </xf>
    <xf numFmtId="0" fontId="6" fillId="6" borderId="0" xfId="0" applyFont="1" applyFill="1" applyBorder="1" applyAlignment="1">
      <alignment horizontal="center"/>
    </xf>
    <xf numFmtId="0" fontId="1" fillId="0" borderId="1" xfId="0" applyFont="1" applyBorder="1"/>
    <xf numFmtId="0" fontId="13" fillId="0" borderId="1" xfId="0" applyFont="1" applyBorder="1" applyAlignment="1">
      <alignment horizontal="center"/>
    </xf>
    <xf numFmtId="0" fontId="14" fillId="0" borderId="1" xfId="0" applyFont="1" applyBorder="1"/>
  </cellXfs>
  <cellStyles count="1">
    <cellStyle name="Normal" xfId="0" builtinId="0"/>
  </cellStyles>
  <dxfs count="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scheme val="none"/>
      </font>
      <numFmt numFmtId="164" formatCode="&quot;C$&quot;#,##0.0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scheme val="none"/>
      </font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scheme val="none"/>
      </font>
      <numFmt numFmtId="164" formatCode="&quot;C$&quot;#,##0.0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scheme val="none"/>
      </font>
      <numFmt numFmtId="0" formatCode="General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scheme val="none"/>
      </font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scheme val="none"/>
      </font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 DE VENTAS GRUPO2.xlsm]ventas!TablaDinámica4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es-NI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  <c:pivotFmt>
        <c:idx val="2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4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NI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4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NI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ventas!$N$31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C4A-405B-AD6D-3E808D5EC09D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C4A-405B-AD6D-3E808D5EC09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C4A-405B-AD6D-3E808D5EC09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4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NI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ventas!$M$32:$M$49</c:f>
              <c:strCache>
                <c:ptCount val="17"/>
                <c:pt idx="0">
                  <c:v>ACEITE</c:v>
                </c:pt>
                <c:pt idx="1">
                  <c:v>AGUACATE</c:v>
                </c:pt>
                <c:pt idx="2">
                  <c:v>AZUCAR</c:v>
                </c:pt>
                <c:pt idx="3">
                  <c:v>BORRADOR DE GOMA</c:v>
                </c:pt>
                <c:pt idx="4">
                  <c:v>BOTELLA DE AGUA</c:v>
                </c:pt>
                <c:pt idx="5">
                  <c:v>CAFÉ</c:v>
                </c:pt>
                <c:pt idx="6">
                  <c:v>CAJA DE GALLETAS</c:v>
                </c:pt>
                <c:pt idx="7">
                  <c:v>GEL DE CABELLO</c:v>
                </c:pt>
                <c:pt idx="8">
                  <c:v>HUEVOS</c:v>
                </c:pt>
                <c:pt idx="9">
                  <c:v>LAPICERO</c:v>
                </c:pt>
                <c:pt idx="10">
                  <c:v>LECHE AGRIA</c:v>
                </c:pt>
                <c:pt idx="11">
                  <c:v>PASTA DE DIENTES</c:v>
                </c:pt>
                <c:pt idx="12">
                  <c:v>SAL</c:v>
                </c:pt>
                <c:pt idx="13">
                  <c:v>(en blanco)</c:v>
                </c:pt>
                <c:pt idx="14">
                  <c:v>CREMA PARA CALZADO</c:v>
                </c:pt>
                <c:pt idx="15">
                  <c:v>ARROZ</c:v>
                </c:pt>
                <c:pt idx="16">
                  <c:v>MAIZENA</c:v>
                </c:pt>
              </c:strCache>
            </c:strRef>
          </c:cat>
          <c:val>
            <c:numRef>
              <c:f>ventas!$N$32:$N$49</c:f>
              <c:numCache>
                <c:formatCode>General</c:formatCode>
                <c:ptCount val="17"/>
                <c:pt idx="0">
                  <c:v>9</c:v>
                </c:pt>
                <c:pt idx="1">
                  <c:v>14</c:v>
                </c:pt>
                <c:pt idx="2">
                  <c:v>11</c:v>
                </c:pt>
                <c:pt idx="3">
                  <c:v>11</c:v>
                </c:pt>
                <c:pt idx="4">
                  <c:v>1</c:v>
                </c:pt>
                <c:pt idx="5">
                  <c:v>4</c:v>
                </c:pt>
                <c:pt idx="6">
                  <c:v>6</c:v>
                </c:pt>
                <c:pt idx="7">
                  <c:v>1</c:v>
                </c:pt>
                <c:pt idx="8">
                  <c:v>16</c:v>
                </c:pt>
                <c:pt idx="9">
                  <c:v>9</c:v>
                </c:pt>
                <c:pt idx="10">
                  <c:v>13</c:v>
                </c:pt>
                <c:pt idx="11">
                  <c:v>12</c:v>
                </c:pt>
                <c:pt idx="12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10-45A0-8ADC-059A90E24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8270848"/>
        <c:axId val="1488281664"/>
      </c:barChart>
      <c:catAx>
        <c:axId val="1488270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Rounded MT Bold" panose="020F0704030504030204" pitchFamily="34" charset="0"/>
                <a:ea typeface="+mn-ea"/>
                <a:cs typeface="+mn-cs"/>
              </a:defRPr>
            </a:pPr>
            <a:endParaRPr lang="es-NI"/>
          </a:p>
        </c:txPr>
        <c:crossAx val="1488281664"/>
        <c:crosses val="autoZero"/>
        <c:auto val="1"/>
        <c:lblAlgn val="ctr"/>
        <c:lblOffset val="100"/>
        <c:noMultiLvlLbl val="0"/>
      </c:catAx>
      <c:valAx>
        <c:axId val="148828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1488270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NI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NI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81645</xdr:colOff>
      <xdr:row>5</xdr:row>
      <xdr:rowOff>95249</xdr:rowOff>
    </xdr:from>
    <xdr:to>
      <xdr:col>7</xdr:col>
      <xdr:colOff>365125</xdr:colOff>
      <xdr:row>15</xdr:row>
      <xdr:rowOff>117927</xdr:rowOff>
    </xdr:to>
    <xdr:sp macro="[0]!Rectánguloesquinasdiagonalescortadas1_Haga_clic_en" textlink="">
      <xdr:nvSpPr>
        <xdr:cNvPr id="2" name="Rectángulo: esquinas diagonales cortadas 1">
          <a:extLst>
            <a:ext uri="{FF2B5EF4-FFF2-40B4-BE49-F238E27FC236}">
              <a16:creationId xmlns:a16="http://schemas.microsoft.com/office/drawing/2014/main" id="{F20C9F18-4159-42E8-9E74-341AF8B789D4}"/>
            </a:ext>
          </a:extLst>
        </xdr:cNvPr>
        <xdr:cNvSpPr/>
      </xdr:nvSpPr>
      <xdr:spPr>
        <a:xfrm>
          <a:off x="1605645" y="1047749"/>
          <a:ext cx="4093480" cy="1927678"/>
        </a:xfrm>
        <a:prstGeom prst="snip2DiagRect">
          <a:avLst/>
        </a:prstGeom>
        <a:solidFill>
          <a:srgbClr val="00B050"/>
        </a:solidFill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NI" sz="1100"/>
            <a:t>	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7</xdr:col>
      <xdr:colOff>446767</xdr:colOff>
      <xdr:row>18</xdr:row>
      <xdr:rowOff>54428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EB112772-F630-4576-9E67-EBE672C048F2}"/>
            </a:ext>
          </a:extLst>
        </xdr:cNvPr>
        <xdr:cNvSpPr/>
      </xdr:nvSpPr>
      <xdr:spPr>
        <a:xfrm>
          <a:off x="1524000" y="952500"/>
          <a:ext cx="4256767" cy="2530928"/>
        </a:xfrm>
        <a:prstGeom prst="rect">
          <a:avLst/>
        </a:prstGeom>
        <a:noFill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NI" sz="1100"/>
        </a:p>
      </xdr:txBody>
    </xdr:sp>
    <xdr:clientData/>
  </xdr:twoCellAnchor>
  <xdr:twoCellAnchor>
    <xdr:from>
      <xdr:col>8</xdr:col>
      <xdr:colOff>186420</xdr:colOff>
      <xdr:row>5</xdr:row>
      <xdr:rowOff>123824</xdr:rowOff>
    </xdr:from>
    <xdr:to>
      <xdr:col>13</xdr:col>
      <xdr:colOff>469900</xdr:colOff>
      <xdr:row>15</xdr:row>
      <xdr:rowOff>146502</xdr:rowOff>
    </xdr:to>
    <xdr:sp macro="" textlink="">
      <xdr:nvSpPr>
        <xdr:cNvPr id="4" name="Rectángulo: esquinas diagonales cortadas 3">
          <a:extLst>
            <a:ext uri="{FF2B5EF4-FFF2-40B4-BE49-F238E27FC236}">
              <a16:creationId xmlns:a16="http://schemas.microsoft.com/office/drawing/2014/main" id="{20D5211F-E9B9-4A4C-BBAB-192CC8DE89EE}"/>
            </a:ext>
          </a:extLst>
        </xdr:cNvPr>
        <xdr:cNvSpPr/>
      </xdr:nvSpPr>
      <xdr:spPr>
        <a:xfrm>
          <a:off x="6282420" y="1076324"/>
          <a:ext cx="4093480" cy="1927678"/>
        </a:xfrm>
        <a:prstGeom prst="snip2DiagRect">
          <a:avLst/>
        </a:prstGeom>
        <a:solidFill>
          <a:srgbClr val="FFC000"/>
        </a:solidFill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NI" sz="1100">
              <a:solidFill>
                <a:srgbClr val="FF0000"/>
              </a:solidFill>
            </a:rPr>
            <a:t>	</a:t>
          </a:r>
        </a:p>
      </xdr:txBody>
    </xdr:sp>
    <xdr:clientData/>
  </xdr:twoCellAnchor>
  <xdr:twoCellAnchor>
    <xdr:from>
      <xdr:col>8</xdr:col>
      <xdr:colOff>104775</xdr:colOff>
      <xdr:row>5</xdr:row>
      <xdr:rowOff>28575</xdr:rowOff>
    </xdr:from>
    <xdr:to>
      <xdr:col>13</xdr:col>
      <xdr:colOff>551542</xdr:colOff>
      <xdr:row>18</xdr:row>
      <xdr:rowOff>83003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AF22FC16-579B-4512-8A6C-057E5AB457AF}"/>
            </a:ext>
          </a:extLst>
        </xdr:cNvPr>
        <xdr:cNvSpPr/>
      </xdr:nvSpPr>
      <xdr:spPr>
        <a:xfrm>
          <a:off x="6200775" y="981075"/>
          <a:ext cx="4256767" cy="2530928"/>
        </a:xfrm>
        <a:prstGeom prst="rect">
          <a:avLst/>
        </a:prstGeom>
        <a:noFill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NI" sz="1100"/>
        </a:p>
      </xdr:txBody>
    </xdr:sp>
    <xdr:clientData/>
  </xdr:twoCellAnchor>
  <xdr:twoCellAnchor>
    <xdr:from>
      <xdr:col>2</xdr:col>
      <xdr:colOff>634095</xdr:colOff>
      <xdr:row>15</xdr:row>
      <xdr:rowOff>28574</xdr:rowOff>
    </xdr:from>
    <xdr:to>
      <xdr:col>7</xdr:col>
      <xdr:colOff>727076</xdr:colOff>
      <xdr:row>19</xdr:row>
      <xdr:rowOff>173717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B231E611-8F42-4225-A9DE-2E1776685562}"/>
            </a:ext>
          </a:extLst>
        </xdr:cNvPr>
        <xdr:cNvSpPr txBox="1"/>
      </xdr:nvSpPr>
      <xdr:spPr>
        <a:xfrm>
          <a:off x="2158095" y="2886074"/>
          <a:ext cx="3902981" cy="907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NI" sz="2800">
              <a:solidFill>
                <a:schemeClr val="bg1"/>
              </a:solidFill>
              <a:latin typeface="Arial Black" panose="020B0A04020102020204" pitchFamily="34" charset="0"/>
            </a:rPr>
            <a:t>IR A VENTAS</a:t>
          </a:r>
        </a:p>
      </xdr:txBody>
    </xdr:sp>
    <xdr:clientData/>
  </xdr:twoCellAnchor>
  <xdr:twoCellAnchor>
    <xdr:from>
      <xdr:col>9</xdr:col>
      <xdr:colOff>386446</xdr:colOff>
      <xdr:row>15</xdr:row>
      <xdr:rowOff>76200</xdr:rowOff>
    </xdr:from>
    <xdr:to>
      <xdr:col>12</xdr:col>
      <xdr:colOff>504826</xdr:colOff>
      <xdr:row>17</xdr:row>
      <xdr:rowOff>180976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7EF4E8F0-E198-41D3-AE2E-B11A5B923B4F}"/>
            </a:ext>
          </a:extLst>
        </xdr:cNvPr>
        <xdr:cNvSpPr txBox="1"/>
      </xdr:nvSpPr>
      <xdr:spPr>
        <a:xfrm>
          <a:off x="7244446" y="2933700"/>
          <a:ext cx="2404380" cy="4857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NI" sz="2800">
              <a:solidFill>
                <a:schemeClr val="bg1"/>
              </a:solidFill>
              <a:latin typeface="Arial Black" panose="020B0A04020102020204" pitchFamily="34" charset="0"/>
            </a:rPr>
            <a:t>REPORTES</a:t>
          </a:r>
        </a:p>
      </xdr:txBody>
    </xdr:sp>
    <xdr:clientData/>
  </xdr:twoCellAnchor>
  <xdr:twoCellAnchor>
    <xdr:from>
      <xdr:col>1</xdr:col>
      <xdr:colOff>62596</xdr:colOff>
      <xdr:row>0</xdr:row>
      <xdr:rowOff>66675</xdr:rowOff>
    </xdr:from>
    <xdr:to>
      <xdr:col>7</xdr:col>
      <xdr:colOff>295276</xdr:colOff>
      <xdr:row>3</xdr:row>
      <xdr:rowOff>38100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A3E50E26-8990-4D0B-8CAD-FD83D391A2ED}"/>
            </a:ext>
          </a:extLst>
        </xdr:cNvPr>
        <xdr:cNvSpPr txBox="1"/>
      </xdr:nvSpPr>
      <xdr:spPr>
        <a:xfrm>
          <a:off x="824596" y="66675"/>
          <a:ext cx="4804680" cy="542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NI" sz="2800">
              <a:solidFill>
                <a:schemeClr val="bg1"/>
              </a:solidFill>
              <a:latin typeface="Gill Sans Ultra Bold" panose="020B0A02020104020203" pitchFamily="34" charset="0"/>
            </a:rPr>
            <a:t>SISTEMA</a:t>
          </a:r>
          <a:r>
            <a:rPr lang="es-NI" sz="2800" baseline="0">
              <a:solidFill>
                <a:schemeClr val="bg1"/>
              </a:solidFill>
              <a:latin typeface="Gill Sans Ultra Bold" panose="020B0A02020104020203" pitchFamily="34" charset="0"/>
            </a:rPr>
            <a:t> DE VENTAS </a:t>
          </a:r>
          <a:endParaRPr lang="es-NI" sz="2800">
            <a:solidFill>
              <a:schemeClr val="bg1"/>
            </a:solidFill>
            <a:latin typeface="Gill Sans Ultra Bold" panose="020B0A020201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200027</xdr:colOff>
      <xdr:row>22</xdr:row>
      <xdr:rowOff>180974</xdr:rowOff>
    </xdr:from>
    <xdr:to>
      <xdr:col>12</xdr:col>
      <xdr:colOff>1390650</xdr:colOff>
      <xdr:row>26</xdr:row>
      <xdr:rowOff>40822</xdr:rowOff>
    </xdr:to>
    <xdr:sp macro="[0]!SEL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953877" y="4772024"/>
          <a:ext cx="2143123" cy="831398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NI" sz="1100"/>
        </a:p>
        <a:p>
          <a:pPr algn="l"/>
          <a:r>
            <a:rPr lang="es-NI" sz="1400">
              <a:latin typeface="Arial Black" panose="020B0A04020102020204" pitchFamily="34" charset="0"/>
            </a:rPr>
            <a:t>HACER VENTAS</a:t>
          </a:r>
        </a:p>
      </xdr:txBody>
    </xdr:sp>
    <xdr:clientData/>
  </xdr:twoCellAnchor>
  <xdr:oneCellAnchor>
    <xdr:from>
      <xdr:col>4</xdr:col>
      <xdr:colOff>1463</xdr:colOff>
      <xdr:row>16</xdr:row>
      <xdr:rowOff>123825</xdr:rowOff>
    </xdr:from>
    <xdr:ext cx="7045583" cy="1068819"/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8AF10528-CEF1-4FE6-AC92-E110B35A59FE}"/>
            </a:ext>
          </a:extLst>
        </xdr:cNvPr>
        <xdr:cNvSpPr/>
      </xdr:nvSpPr>
      <xdr:spPr>
        <a:xfrm>
          <a:off x="3706688" y="3171825"/>
          <a:ext cx="7045583" cy="106881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MX" sz="54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chemeClr val="bg1"/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  <a:latin typeface="Arial Black" panose="020B0A04020102020204" pitchFamily="34" charset="0"/>
            </a:rPr>
            <a:t>AREA DE VENTAS</a:t>
          </a:r>
        </a:p>
      </xdr:txBody>
    </xdr:sp>
    <xdr:clientData/>
  </xdr:oneCellAnchor>
  <xdr:twoCellAnchor>
    <xdr:from>
      <xdr:col>6</xdr:col>
      <xdr:colOff>285752</xdr:colOff>
      <xdr:row>4</xdr:row>
      <xdr:rowOff>176893</xdr:rowOff>
    </xdr:from>
    <xdr:to>
      <xdr:col>9</xdr:col>
      <xdr:colOff>204107</xdr:colOff>
      <xdr:row>14</xdr:row>
      <xdr:rowOff>40821</xdr:rowOff>
    </xdr:to>
    <xdr:sp macro="" textlink="">
      <xdr:nvSpPr>
        <xdr:cNvPr id="4" name="Rectángulo: esquinas diagonales cortadas 3">
          <a:extLst>
            <a:ext uri="{FF2B5EF4-FFF2-40B4-BE49-F238E27FC236}">
              <a16:creationId xmlns:a16="http://schemas.microsoft.com/office/drawing/2014/main" id="{7F1C771C-7A1E-4E7F-BA82-583CB75E510F}"/>
            </a:ext>
          </a:extLst>
        </xdr:cNvPr>
        <xdr:cNvSpPr/>
      </xdr:nvSpPr>
      <xdr:spPr>
        <a:xfrm>
          <a:off x="5919109" y="979714"/>
          <a:ext cx="4095748" cy="1905000"/>
        </a:xfrm>
        <a:prstGeom prst="snip2DiagRect">
          <a:avLst/>
        </a:prstGeom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NI" sz="1100"/>
            <a:t>	</a:t>
          </a:r>
        </a:p>
      </xdr:txBody>
    </xdr:sp>
    <xdr:clientData/>
  </xdr:twoCellAnchor>
  <xdr:twoCellAnchor>
    <xdr:from>
      <xdr:col>6</xdr:col>
      <xdr:colOff>204107</xdr:colOff>
      <xdr:row>4</xdr:row>
      <xdr:rowOff>81644</xdr:rowOff>
    </xdr:from>
    <xdr:to>
      <xdr:col>9</xdr:col>
      <xdr:colOff>285749</xdr:colOff>
      <xdr:row>16</xdr:row>
      <xdr:rowOff>136072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690BE6B7-FE04-4A16-B90C-AD70BFF69489}"/>
            </a:ext>
          </a:extLst>
        </xdr:cNvPr>
        <xdr:cNvSpPr/>
      </xdr:nvSpPr>
      <xdr:spPr>
        <a:xfrm>
          <a:off x="5837464" y="884465"/>
          <a:ext cx="4259035" cy="2503714"/>
        </a:xfrm>
        <a:prstGeom prst="rect">
          <a:avLst/>
        </a:prstGeom>
        <a:noFill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NI" sz="1100"/>
        </a:p>
      </xdr:txBody>
    </xdr:sp>
    <xdr:clientData/>
  </xdr:twoCellAnchor>
  <xdr:twoCellAnchor>
    <xdr:from>
      <xdr:col>6</xdr:col>
      <xdr:colOff>381001</xdr:colOff>
      <xdr:row>14</xdr:row>
      <xdr:rowOff>1</xdr:rowOff>
    </xdr:from>
    <xdr:to>
      <xdr:col>9</xdr:col>
      <xdr:colOff>108857</xdr:colOff>
      <xdr:row>18</xdr:row>
      <xdr:rowOff>81644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9F310203-B367-4A02-AF26-7CC8915DA19A}"/>
            </a:ext>
          </a:extLst>
        </xdr:cNvPr>
        <xdr:cNvSpPr txBox="1"/>
      </xdr:nvSpPr>
      <xdr:spPr>
        <a:xfrm>
          <a:off x="6014358" y="2843894"/>
          <a:ext cx="3905249" cy="8980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NI" sz="2800">
              <a:solidFill>
                <a:schemeClr val="accent6">
                  <a:lumMod val="75000"/>
                </a:schemeClr>
              </a:solidFill>
              <a:latin typeface="Arial Black" panose="020B0A04020102020204" pitchFamily="34" charset="0"/>
            </a:rPr>
            <a:t>VENTAS TOTALES</a:t>
          </a:r>
        </a:p>
      </xdr:txBody>
    </xdr:sp>
    <xdr:clientData/>
  </xdr:twoCellAnchor>
  <xdr:twoCellAnchor>
    <xdr:from>
      <xdr:col>6</xdr:col>
      <xdr:colOff>530678</xdr:colOff>
      <xdr:row>7</xdr:row>
      <xdr:rowOff>122463</xdr:rowOff>
    </xdr:from>
    <xdr:to>
      <xdr:col>8</xdr:col>
      <xdr:colOff>1034142</xdr:colOff>
      <xdr:row>11</xdr:row>
      <xdr:rowOff>176892</xdr:rowOff>
    </xdr:to>
    <xdr:sp macro="" textlink="$N20">
      <xdr:nvSpPr>
        <xdr:cNvPr id="10" name="CuadroTexto 9">
          <a:extLst>
            <a:ext uri="{FF2B5EF4-FFF2-40B4-BE49-F238E27FC236}">
              <a16:creationId xmlns:a16="http://schemas.microsoft.com/office/drawing/2014/main" id="{92C42FD8-6E3E-4360-BF27-7599D99C8F37}"/>
            </a:ext>
          </a:extLst>
        </xdr:cNvPr>
        <xdr:cNvSpPr txBox="1"/>
      </xdr:nvSpPr>
      <xdr:spPr>
        <a:xfrm>
          <a:off x="6164035" y="1537606"/>
          <a:ext cx="3442607" cy="870857"/>
        </a:xfrm>
        <a:prstGeom prst="rect">
          <a:avLst/>
        </a:prstGeom>
        <a:noFill/>
        <a:ln w="9525" cmpd="sng">
          <a:noFill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20823B8-D4CA-4016-95B8-EB3C020E1F71}" type="TxLink">
            <a:rPr lang="en-US" sz="4000" b="0" i="0" u="none" strike="noStrike">
              <a:solidFill>
                <a:schemeClr val="bg1"/>
              </a:solidFill>
              <a:latin typeface="Arial Black" panose="020B0A04020102020204" pitchFamily="34" charset="0"/>
              <a:ea typeface="Calibri"/>
              <a:cs typeface="Calibri"/>
            </a:rPr>
            <a:pPr/>
            <a:t>C$1,465.00</a:t>
          </a:fld>
          <a:endParaRPr lang="es-NI" sz="4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13</xdr:col>
      <xdr:colOff>396875</xdr:colOff>
      <xdr:row>8</xdr:row>
      <xdr:rowOff>95250</xdr:rowOff>
    </xdr:from>
    <xdr:to>
      <xdr:col>26</xdr:col>
      <xdr:colOff>558801</xdr:colOff>
      <xdr:row>44</xdr:row>
      <xdr:rowOff>103185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55B9DF2E-5916-4E64-856F-9F67F7636461}"/>
            </a:ext>
          </a:extLst>
        </xdr:cNvPr>
        <xdr:cNvSpPr/>
      </xdr:nvSpPr>
      <xdr:spPr>
        <a:xfrm>
          <a:off x="14843125" y="1730375"/>
          <a:ext cx="11052176" cy="8040685"/>
        </a:xfrm>
        <a:prstGeom prst="rect">
          <a:avLst/>
        </a:prstGeom>
        <a:noFill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NI" sz="1100"/>
        </a:p>
      </xdr:txBody>
    </xdr:sp>
    <xdr:clientData/>
  </xdr:twoCellAnchor>
  <xdr:twoCellAnchor>
    <xdr:from>
      <xdr:col>13</xdr:col>
      <xdr:colOff>492125</xdr:colOff>
      <xdr:row>6</xdr:row>
      <xdr:rowOff>76201</xdr:rowOff>
    </xdr:from>
    <xdr:to>
      <xdr:col>26</xdr:col>
      <xdr:colOff>492125</xdr:colOff>
      <xdr:row>44</xdr:row>
      <xdr:rowOff>1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8546909E-1275-4DE4-A0FE-2C53E4AAD2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272371</xdr:colOff>
      <xdr:row>6</xdr:row>
      <xdr:rowOff>81643</xdr:rowOff>
    </xdr:from>
    <xdr:to>
      <xdr:col>19</xdr:col>
      <xdr:colOff>105002</xdr:colOff>
      <xdr:row>10</xdr:row>
      <xdr:rowOff>158524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4D10A8F5-58C7-4BA9-ACEB-505A6B534CAE}"/>
            </a:ext>
          </a:extLst>
        </xdr:cNvPr>
        <xdr:cNvSpPr txBox="1"/>
      </xdr:nvSpPr>
      <xdr:spPr>
        <a:xfrm>
          <a:off x="16064821" y="1319893"/>
          <a:ext cx="3642631" cy="9150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NI" sz="2800">
              <a:solidFill>
                <a:schemeClr val="accent6">
                  <a:lumMod val="75000"/>
                </a:schemeClr>
              </a:solidFill>
              <a:latin typeface="Arial Black" panose="020B0A04020102020204" pitchFamily="34" charset="0"/>
            </a:rPr>
            <a:t>MAS</a:t>
          </a:r>
          <a:r>
            <a:rPr lang="es-NI" sz="2800" baseline="0">
              <a:solidFill>
                <a:schemeClr val="accent6">
                  <a:lumMod val="75000"/>
                </a:schemeClr>
              </a:solidFill>
              <a:latin typeface="Arial Black" panose="020B0A04020102020204" pitchFamily="34" charset="0"/>
            </a:rPr>
            <a:t> VENDIDOS</a:t>
          </a:r>
          <a:endParaRPr lang="es-NI" sz="2800">
            <a:solidFill>
              <a:schemeClr val="accent6">
                <a:lumMod val="75000"/>
              </a:schemeClr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10</xdr:col>
      <xdr:colOff>635000</xdr:colOff>
      <xdr:row>17</xdr:row>
      <xdr:rowOff>79374</xdr:rowOff>
    </xdr:from>
    <xdr:to>
      <xdr:col>13</xdr:col>
      <xdr:colOff>314325</xdr:colOff>
      <xdr:row>22</xdr:row>
      <xdr:rowOff>22225</xdr:rowOff>
    </xdr:to>
    <xdr:sp macro="[0]!reportes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F7A0D6BE-9D2B-40D8-819F-F3FD87C95A25}"/>
            </a:ext>
          </a:extLst>
        </xdr:cNvPr>
        <xdr:cNvSpPr/>
      </xdr:nvSpPr>
      <xdr:spPr>
        <a:xfrm>
          <a:off x="11855450" y="3155949"/>
          <a:ext cx="3251200" cy="847726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NI" sz="1100"/>
        </a:p>
        <a:p>
          <a:pPr algn="l"/>
          <a:r>
            <a:rPr lang="es-NI" sz="1400">
              <a:latin typeface="Arial Black" panose="020B0A04020102020204" pitchFamily="34" charset="0"/>
            </a:rPr>
            <a:t>REPORTES ULTIMAS VENTAS</a:t>
          </a:r>
        </a:p>
      </xdr:txBody>
    </xdr:sp>
    <xdr:clientData/>
  </xdr:twoCellAnchor>
  <xdr:twoCellAnchor>
    <xdr:from>
      <xdr:col>0</xdr:col>
      <xdr:colOff>323850</xdr:colOff>
      <xdr:row>24</xdr:row>
      <xdr:rowOff>38100</xdr:rowOff>
    </xdr:from>
    <xdr:to>
      <xdr:col>2</xdr:col>
      <xdr:colOff>565150</xdr:colOff>
      <xdr:row>29</xdr:row>
      <xdr:rowOff>19051</xdr:rowOff>
    </xdr:to>
    <xdr:sp macro="[0]!products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6662EEC0-8646-4C5F-AB63-48025982F41D}"/>
            </a:ext>
          </a:extLst>
        </xdr:cNvPr>
        <xdr:cNvSpPr/>
      </xdr:nvSpPr>
      <xdr:spPr>
        <a:xfrm>
          <a:off x="323850" y="5181600"/>
          <a:ext cx="2546350" cy="990601"/>
        </a:xfrm>
        <a:prstGeom prst="roundRect">
          <a:avLst/>
        </a:prstGeom>
        <a:blipFill>
          <a:blip xmlns:r="http://schemas.openxmlformats.org/officeDocument/2006/relationships" r:embed="rId1">
            <a:duotone>
              <a:prstClr val="black"/>
              <a:schemeClr val="accent4">
                <a:tint val="45000"/>
                <a:satMod val="400000"/>
              </a:schemeClr>
            </a:duotone>
          </a:blip>
          <a:stretch>
            <a:fillRect/>
          </a:stretch>
        </a:blip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NI" sz="1100"/>
        </a:p>
        <a:p>
          <a:pPr algn="l"/>
          <a:r>
            <a:rPr lang="es-NI" sz="1400">
              <a:latin typeface="Arial Black" panose="020B0A04020102020204" pitchFamily="34" charset="0"/>
            </a:rPr>
            <a:t>LISTA DE PRODUCTOS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38099</xdr:colOff>
      <xdr:row>6</xdr:row>
      <xdr:rowOff>180975</xdr:rowOff>
    </xdr:from>
    <xdr:ext cx="9401175" cy="888000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16336969-413D-487D-9EE9-5C6F60C63F70}"/>
            </a:ext>
          </a:extLst>
        </xdr:cNvPr>
        <xdr:cNvSpPr/>
      </xdr:nvSpPr>
      <xdr:spPr>
        <a:xfrm>
          <a:off x="3352799" y="1323975"/>
          <a:ext cx="9401175" cy="88800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MX" sz="44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FF0000"/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  <a:latin typeface="Arial Black" panose="020B0A04020102020204" pitchFamily="34" charset="0"/>
            </a:rPr>
            <a:t>INVENTARIO </a:t>
          </a:r>
          <a:r>
            <a:rPr lang="es-MX" sz="4400" b="1" cap="none" spc="50" baseline="0">
              <a:ln w="9525" cmpd="sng">
                <a:solidFill>
                  <a:schemeClr val="accent1"/>
                </a:solidFill>
                <a:prstDash val="solid"/>
              </a:ln>
              <a:solidFill>
                <a:srgbClr val="FF0000"/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  <a:latin typeface="Arial Black" panose="020B0A04020102020204" pitchFamily="34" charset="0"/>
            </a:rPr>
            <a:t>DE PRODUCTOS</a:t>
          </a:r>
          <a:endParaRPr lang="es-MX" sz="4400" b="1" cap="none" spc="50">
            <a:ln w="9525" cmpd="sng">
              <a:solidFill>
                <a:schemeClr val="accent1"/>
              </a:solidFill>
              <a:prstDash val="solid"/>
            </a:ln>
            <a:solidFill>
              <a:srgbClr val="FF0000"/>
            </a:solidFill>
            <a:effectLst>
              <a:glow rad="38100">
                <a:schemeClr val="accent1">
                  <a:alpha val="40000"/>
                </a:schemeClr>
              </a:glow>
            </a:effectLst>
            <a:latin typeface="Arial Black" panose="020B0A04020102020204" pitchFamily="34" charset="0"/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rberos" refreshedDate="45488.681077314817" createdVersion="7" refreshedVersion="7" minRefreshableVersion="3" recordCount="37" xr:uid="{00000000-000A-0000-FFFF-FFFF00000000}">
  <cacheSource type="worksheet">
    <worksheetSource name="Tabla5"/>
  </cacheSource>
  <cacheFields count="5">
    <cacheField name="ID" numFmtId="0">
      <sharedItems containsString="0" containsBlank="1" containsNumber="1" containsInteger="1" minValue="1" maxValue="23"/>
    </cacheField>
    <cacheField name="CONCEPTO" numFmtId="0">
      <sharedItems containsBlank="1" count="17">
        <s v="MAIZENA"/>
        <s v="AZUCAR"/>
        <s v="AGUACATE"/>
        <s v="LECHE AGRIA"/>
        <s v="ACEITE"/>
        <s v="CAJA DE GALLETAS"/>
        <s v="ARROZ"/>
        <s v="CREMA PARA CALZADO"/>
        <s v="LAPICERO"/>
        <s v="PASTA DE DIENTES"/>
        <s v="HUEVOS"/>
        <s v="BORRADOR DE GOMA"/>
        <s v="GEL DE CABELLO"/>
        <s v="SAL"/>
        <s v="BOTELLA DE AGUA"/>
        <s v="CAFÉ"/>
        <m/>
      </sharedItems>
    </cacheField>
    <cacheField name="PRECIO" numFmtId="164">
      <sharedItems containsString="0" containsBlank="1" containsNumber="1" containsInteger="1" minValue="5" maxValue="60"/>
    </cacheField>
    <cacheField name="CANTIDAD" numFmtId="0">
      <sharedItems containsString="0" containsBlank="1" containsNumber="1" containsInteger="1" minValue="1" maxValue="11"/>
    </cacheField>
    <cacheField name="TOTAL" numFmtId="164">
      <sharedItems containsString="0" containsBlank="1" containsNumber="1" containsInteger="1" minValue="5" maxValue="1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">
  <r>
    <n v="23"/>
    <x v="0"/>
    <n v="30"/>
    <n v="2"/>
    <n v="60"/>
  </r>
  <r>
    <n v="4"/>
    <x v="1"/>
    <n v="20"/>
    <n v="2"/>
    <n v="40"/>
  </r>
  <r>
    <n v="8"/>
    <x v="2"/>
    <n v="10"/>
    <n v="10"/>
    <n v="100"/>
  </r>
  <r>
    <n v="7"/>
    <x v="3"/>
    <n v="15"/>
    <n v="1"/>
    <n v="15"/>
  </r>
  <r>
    <n v="4"/>
    <x v="1"/>
    <n v="20"/>
    <n v="1"/>
    <n v="20"/>
  </r>
  <r>
    <n v="4"/>
    <x v="1"/>
    <n v="20"/>
    <n v="1"/>
    <n v="20"/>
  </r>
  <r>
    <n v="5"/>
    <x v="4"/>
    <n v="15"/>
    <n v="2"/>
    <n v="30"/>
  </r>
  <r>
    <n v="1"/>
    <x v="5"/>
    <n v="20"/>
    <n v="1"/>
    <n v="20"/>
  </r>
  <r>
    <n v="6"/>
    <x v="6"/>
    <n v="20"/>
    <n v="1"/>
    <n v="20"/>
  </r>
  <r>
    <n v="19"/>
    <x v="7"/>
    <n v="49"/>
    <n v="1"/>
    <n v="49"/>
  </r>
  <r>
    <n v="5"/>
    <x v="4"/>
    <n v="15"/>
    <n v="1"/>
    <n v="15"/>
  </r>
  <r>
    <n v="5"/>
    <x v="4"/>
    <n v="15"/>
    <n v="1"/>
    <n v="15"/>
  </r>
  <r>
    <n v="4"/>
    <x v="1"/>
    <n v="20"/>
    <n v="1"/>
    <n v="20"/>
  </r>
  <r>
    <n v="4"/>
    <x v="1"/>
    <n v="20"/>
    <n v="5"/>
    <n v="100"/>
  </r>
  <r>
    <n v="1"/>
    <x v="5"/>
    <n v="20"/>
    <n v="5"/>
    <n v="100"/>
  </r>
  <r>
    <n v="9"/>
    <x v="8"/>
    <n v="6"/>
    <n v="5"/>
    <n v="30"/>
  </r>
  <r>
    <n v="9"/>
    <x v="8"/>
    <n v="6"/>
    <n v="4"/>
    <n v="24"/>
  </r>
  <r>
    <n v="8"/>
    <x v="2"/>
    <n v="10"/>
    <n v="4"/>
    <n v="40"/>
  </r>
  <r>
    <n v="11"/>
    <x v="9"/>
    <n v="35"/>
    <n v="4"/>
    <n v="140"/>
  </r>
  <r>
    <n v="11"/>
    <x v="9"/>
    <n v="35"/>
    <n v="4"/>
    <n v="140"/>
  </r>
  <r>
    <n v="11"/>
    <x v="9"/>
    <n v="35"/>
    <n v="4"/>
    <n v="140"/>
  </r>
  <r>
    <n v="5"/>
    <x v="4"/>
    <n v="15"/>
    <n v="4"/>
    <n v="60"/>
  </r>
  <r>
    <n v="18"/>
    <x v="10"/>
    <n v="10"/>
    <n v="4"/>
    <n v="40"/>
  </r>
  <r>
    <n v="18"/>
    <x v="10"/>
    <n v="10"/>
    <n v="4"/>
    <n v="40"/>
  </r>
  <r>
    <n v="18"/>
    <x v="10"/>
    <n v="10"/>
    <n v="4"/>
    <n v="40"/>
  </r>
  <r>
    <n v="18"/>
    <x v="10"/>
    <n v="10"/>
    <n v="4"/>
    <n v="40"/>
  </r>
  <r>
    <n v="17"/>
    <x v="11"/>
    <n v="13"/>
    <n v="11"/>
    <n v="143"/>
  </r>
  <r>
    <n v="7"/>
    <x v="3"/>
    <n v="15"/>
    <n v="11"/>
    <n v="165"/>
  </r>
  <r>
    <n v="7"/>
    <x v="3"/>
    <n v="15"/>
    <n v="1"/>
    <n v="15"/>
  </r>
  <r>
    <n v="3"/>
    <x v="12"/>
    <n v="5"/>
    <n v="1"/>
    <n v="5"/>
  </r>
  <r>
    <n v="4"/>
    <x v="1"/>
    <n v="20"/>
    <n v="1"/>
    <n v="20"/>
  </r>
  <r>
    <n v="5"/>
    <x v="4"/>
    <n v="15"/>
    <n v="1"/>
    <n v="15"/>
  </r>
  <r>
    <n v="16"/>
    <x v="13"/>
    <n v="18"/>
    <n v="1"/>
    <n v="18"/>
  </r>
  <r>
    <n v="2"/>
    <x v="14"/>
    <n v="10"/>
    <n v="1"/>
    <n v="10"/>
  </r>
  <r>
    <n v="21"/>
    <x v="15"/>
    <n v="60"/>
    <n v="2"/>
    <n v="120"/>
  </r>
  <r>
    <n v="21"/>
    <x v="15"/>
    <n v="60"/>
    <n v="2"/>
    <n v="120"/>
  </r>
  <r>
    <m/>
    <x v="16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Dinámica4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">
  <location ref="M31:N49" firstHeaderRow="1" firstDataRow="1" firstDataCol="1"/>
  <pivotFields count="5">
    <pivotField showAll="0"/>
    <pivotField axis="axisRow" showAll="0">
      <items count="18">
        <item x="4"/>
        <item x="2"/>
        <item x="1"/>
        <item x="11"/>
        <item x="14"/>
        <item x="15"/>
        <item x="5"/>
        <item x="12"/>
        <item x="10"/>
        <item x="8"/>
        <item x="3"/>
        <item x="9"/>
        <item x="13"/>
        <item x="16"/>
        <item x="7"/>
        <item x="6"/>
        <item x="0"/>
        <item t="default"/>
      </items>
    </pivotField>
    <pivotField showAll="0"/>
    <pivotField dataField="1" showAll="0"/>
    <pivotField showAll="0"/>
  </pivotFields>
  <rowFields count="1">
    <field x="1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Suma de CANTIDAD" fld="3" baseField="0" baseItem="0"/>
  </dataFields>
  <chartFormats count="1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la5" displayName="Tabla5" ref="G31:K73" totalsRowShown="0" headerRowDxfId="8" dataDxfId="6" headerRowBorderDxfId="7" tableBorderDxfId="5">
  <autoFilter ref="G31:K73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000-000001000000}" name="ID" dataDxfId="4"/>
    <tableColumn id="2" xr3:uid="{00000000-0010-0000-0000-000002000000}" name="CONCEPTO" dataDxfId="3">
      <calculatedColumnFormula>VLOOKUP(G32,$A$2:$C$22,2,FALSE)</calculatedColumnFormula>
    </tableColumn>
    <tableColumn id="3" xr3:uid="{00000000-0010-0000-0000-000003000000}" name="PRECIO" dataDxfId="2">
      <calculatedColumnFormula>VLOOKUP(H32,$B$2:$C$22,2,FALSE)</calculatedColumnFormula>
    </tableColumn>
    <tableColumn id="4" xr3:uid="{00000000-0010-0000-0000-000004000000}" name="CANTIDAD" dataDxfId="1"/>
    <tableColumn id="5" xr3:uid="{00000000-0010-0000-0000-000005000000}" name="TOTAL" dataDxfId="0">
      <calculatedColumnFormula>I32*J32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1.xml"/><Relationship Id="rId4" Type="http://schemas.openxmlformats.org/officeDocument/2006/relationships/image" Target="../media/image2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>
    <tabColor rgb="FFFFFF00"/>
  </sheetPr>
  <dimension ref="A1"/>
  <sheetViews>
    <sheetView showGridLines="0" zoomScale="70" zoomScaleNormal="70" workbookViewId="0">
      <selection activeCell="Q27" sqref="Q27"/>
    </sheetView>
  </sheetViews>
  <sheetFormatPr baseColWidth="10" defaultRowHeight="15" x14ac:dyDescent="0.25"/>
  <sheetData/>
  <pageMargins left="0.7" right="0.7" top="0.75" bottom="0.75" header="0.3" footer="0.3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FF0000"/>
  </sheetPr>
  <dimension ref="A1:S95"/>
  <sheetViews>
    <sheetView showGridLines="0" tabSelected="1" zoomScale="70" zoomScaleNormal="70" workbookViewId="0">
      <selection activeCell="F9" sqref="F9"/>
    </sheetView>
  </sheetViews>
  <sheetFormatPr baseColWidth="10" defaultRowHeight="15" x14ac:dyDescent="0.25"/>
  <cols>
    <col min="1" max="1" width="7.7109375" customWidth="1"/>
    <col min="2" max="2" width="26.7109375" customWidth="1"/>
    <col min="3" max="3" width="15.7109375" customWidth="1"/>
    <col min="7" max="7" width="11.5703125" bestFit="1" customWidth="1"/>
    <col min="8" max="8" width="32.42578125" customWidth="1"/>
    <col min="9" max="9" width="18.5703125" customWidth="1"/>
    <col min="10" max="10" width="16.42578125" customWidth="1"/>
    <col min="11" max="11" width="12.28515625" bestFit="1" customWidth="1"/>
    <col min="12" max="12" width="14.140625" customWidth="1"/>
    <col min="13" max="13" width="25.5703125" bestFit="1" customWidth="1"/>
    <col min="14" max="14" width="20.42578125" bestFit="1" customWidth="1"/>
  </cols>
  <sheetData>
    <row r="1" spans="1:12" x14ac:dyDescent="0.25">
      <c r="A1" s="30" t="s">
        <v>0</v>
      </c>
      <c r="B1" s="30" t="s">
        <v>1</v>
      </c>
      <c r="C1" s="30" t="s">
        <v>2</v>
      </c>
    </row>
    <row r="2" spans="1:12" ht="16.5" x14ac:dyDescent="0.3">
      <c r="A2" s="31">
        <f>productos!$A2</f>
        <v>1</v>
      </c>
      <c r="B2" s="32" t="str">
        <f>productos!$B2</f>
        <v>CAJA DE GALLETAS</v>
      </c>
      <c r="C2" s="23">
        <f>productos!$C2</f>
        <v>20</v>
      </c>
    </row>
    <row r="3" spans="1:12" ht="16.5" x14ac:dyDescent="0.3">
      <c r="A3" s="31">
        <f>productos!$A3</f>
        <v>2</v>
      </c>
      <c r="B3" s="32" t="str">
        <f>productos!$B3</f>
        <v>BOTELLA DE AGUA</v>
      </c>
      <c r="C3" s="23">
        <f>productos!$C3</f>
        <v>10</v>
      </c>
    </row>
    <row r="4" spans="1:12" ht="16.5" x14ac:dyDescent="0.3">
      <c r="A4" s="31">
        <f>productos!$A4</f>
        <v>3</v>
      </c>
      <c r="B4" s="32" t="str">
        <f>productos!$B4</f>
        <v>GEL DE CABELLO</v>
      </c>
      <c r="C4" s="23">
        <f>productos!$C4</f>
        <v>5</v>
      </c>
    </row>
    <row r="5" spans="1:12" ht="16.5" x14ac:dyDescent="0.3">
      <c r="A5" s="31">
        <f>productos!$A5</f>
        <v>4</v>
      </c>
      <c r="B5" s="32" t="str">
        <f>productos!$B5</f>
        <v>AZUCAR</v>
      </c>
      <c r="C5" s="23">
        <f>productos!$C5</f>
        <v>20</v>
      </c>
    </row>
    <row r="6" spans="1:12" ht="16.5" x14ac:dyDescent="0.3">
      <c r="A6" s="31">
        <f>productos!$A6</f>
        <v>5</v>
      </c>
      <c r="B6" s="32" t="str">
        <f>productos!$B6</f>
        <v>ACEITE</v>
      </c>
      <c r="C6" s="23">
        <f>productos!$C6</f>
        <v>15</v>
      </c>
    </row>
    <row r="7" spans="1:12" ht="16.5" x14ac:dyDescent="0.3">
      <c r="A7" s="31">
        <f>productos!$A7</f>
        <v>6</v>
      </c>
      <c r="B7" s="32" t="str">
        <f>productos!$B7</f>
        <v>ARROZ</v>
      </c>
      <c r="C7" s="23">
        <f>productos!$C7</f>
        <v>20</v>
      </c>
    </row>
    <row r="8" spans="1:12" ht="16.5" x14ac:dyDescent="0.3">
      <c r="A8" s="31">
        <f>productos!$A8</f>
        <v>7</v>
      </c>
      <c r="B8" s="32" t="str">
        <f>productos!$B8</f>
        <v>LECHE AGRIA</v>
      </c>
      <c r="C8" s="23">
        <f>productos!$C8</f>
        <v>15</v>
      </c>
    </row>
    <row r="9" spans="1:12" ht="16.5" x14ac:dyDescent="0.3">
      <c r="A9" s="31">
        <f>productos!$A9</f>
        <v>8</v>
      </c>
      <c r="B9" s="32" t="str">
        <f>productos!$B9</f>
        <v>AGUACATE</v>
      </c>
      <c r="C9" s="23">
        <f>productos!$C9</f>
        <v>10</v>
      </c>
    </row>
    <row r="10" spans="1:12" ht="16.5" x14ac:dyDescent="0.3">
      <c r="A10" s="31">
        <f>productos!$A10</f>
        <v>9</v>
      </c>
      <c r="B10" s="32" t="str">
        <f>productos!$B10</f>
        <v>LAPICERO</v>
      </c>
      <c r="C10" s="23">
        <f>productos!$C10</f>
        <v>6</v>
      </c>
    </row>
    <row r="11" spans="1:12" ht="16.5" x14ac:dyDescent="0.3">
      <c r="A11" s="31">
        <f>productos!$A11</f>
        <v>10</v>
      </c>
      <c r="B11" s="32" t="str">
        <f>productos!$B11</f>
        <v>CAJA DE JUGO</v>
      </c>
      <c r="C11" s="23">
        <f>productos!$C11</f>
        <v>15</v>
      </c>
    </row>
    <row r="12" spans="1:12" ht="16.5" x14ac:dyDescent="0.3">
      <c r="A12" s="31">
        <f>productos!$A12</f>
        <v>11</v>
      </c>
      <c r="B12" s="32" t="str">
        <f>productos!$B12</f>
        <v>PASTA DE DIENTES</v>
      </c>
      <c r="C12" s="23">
        <f>productos!$C12</f>
        <v>35</v>
      </c>
    </row>
    <row r="13" spans="1:12" ht="16.5" x14ac:dyDescent="0.3">
      <c r="A13" s="31">
        <f>productos!$A13</f>
        <v>12</v>
      </c>
      <c r="B13" s="32" t="str">
        <f>productos!$B13</f>
        <v>JABON DE LAVAR ROPA</v>
      </c>
      <c r="C13" s="23">
        <f>productos!$C13</f>
        <v>40</v>
      </c>
    </row>
    <row r="14" spans="1:12" ht="16.5" x14ac:dyDescent="0.3">
      <c r="A14" s="31">
        <f>productos!$A14</f>
        <v>13</v>
      </c>
      <c r="B14" s="32" t="str">
        <f>productos!$B14</f>
        <v xml:space="preserve">SHAMPOO </v>
      </c>
      <c r="C14" s="23">
        <f>productos!$C14</f>
        <v>60</v>
      </c>
    </row>
    <row r="15" spans="1:12" ht="16.5" x14ac:dyDescent="0.3">
      <c r="A15" s="31">
        <f>productos!$A15</f>
        <v>14</v>
      </c>
      <c r="B15" s="32" t="str">
        <f>productos!$B15</f>
        <v>BATERIAS AAA</v>
      </c>
      <c r="C15" s="23">
        <f>productos!$C15</f>
        <v>55</v>
      </c>
    </row>
    <row r="16" spans="1:12" ht="16.5" x14ac:dyDescent="0.3">
      <c r="A16" s="31">
        <f>productos!$A16</f>
        <v>15</v>
      </c>
      <c r="B16" s="32" t="str">
        <f>productos!$B16</f>
        <v>MANGO</v>
      </c>
      <c r="C16" s="23">
        <f>productos!$C16</f>
        <v>20</v>
      </c>
      <c r="H16" s="1"/>
      <c r="I16" s="1"/>
      <c r="J16" s="1"/>
      <c r="K16" s="1"/>
      <c r="L16" s="3"/>
    </row>
    <row r="17" spans="1:19" ht="16.5" x14ac:dyDescent="0.3">
      <c r="A17" s="31">
        <f>productos!$A17</f>
        <v>16</v>
      </c>
      <c r="B17" s="32" t="str">
        <f>productos!$B17</f>
        <v>SAL</v>
      </c>
      <c r="C17" s="23">
        <f>productos!$C17</f>
        <v>18</v>
      </c>
    </row>
    <row r="18" spans="1:19" ht="16.5" x14ac:dyDescent="0.3">
      <c r="A18" s="31">
        <f>productos!$A18</f>
        <v>17</v>
      </c>
      <c r="B18" s="32" t="str">
        <f>productos!$B18</f>
        <v>BORRADOR DE GOMA</v>
      </c>
      <c r="C18" s="23">
        <f>productos!$C18</f>
        <v>13</v>
      </c>
    </row>
    <row r="19" spans="1:19" ht="16.5" x14ac:dyDescent="0.3">
      <c r="A19" s="31">
        <f>productos!$A19</f>
        <v>18</v>
      </c>
      <c r="B19" s="32" t="str">
        <f>productos!$B19</f>
        <v>HUEVOS</v>
      </c>
      <c r="C19" s="23">
        <f>productos!$C19</f>
        <v>10</v>
      </c>
    </row>
    <row r="20" spans="1:19" ht="16.5" x14ac:dyDescent="0.3">
      <c r="A20" s="31">
        <f>productos!$A20</f>
        <v>19</v>
      </c>
      <c r="B20" s="32" t="str">
        <f>productos!$B20</f>
        <v>CREMA PARA CALZADO</v>
      </c>
      <c r="C20" s="23">
        <f>productos!$C20</f>
        <v>49</v>
      </c>
      <c r="N20" s="2">
        <f>SUM(K51:K72)</f>
        <v>1465</v>
      </c>
    </row>
    <row r="21" spans="1:19" ht="16.5" x14ac:dyDescent="0.3">
      <c r="A21" s="31">
        <f>productos!$A21</f>
        <v>20</v>
      </c>
      <c r="B21" s="32" t="str">
        <f>productos!$B21</f>
        <v>CEBOLLA</v>
      </c>
      <c r="C21" s="23">
        <f>productos!$C21</f>
        <v>6</v>
      </c>
    </row>
    <row r="22" spans="1:19" ht="16.5" x14ac:dyDescent="0.3">
      <c r="A22" s="31">
        <f>productos!$A22</f>
        <v>21</v>
      </c>
      <c r="B22" s="32" t="str">
        <f>productos!$B22</f>
        <v>CAFÉ</v>
      </c>
      <c r="C22" s="23">
        <f>productos!$C22</f>
        <v>60</v>
      </c>
    </row>
    <row r="23" spans="1:19" ht="16.5" x14ac:dyDescent="0.3">
      <c r="A23" s="31">
        <f>productos!$A23</f>
        <v>23</v>
      </c>
      <c r="B23" s="32" t="str">
        <f>productos!$B23</f>
        <v>MAIZENA</v>
      </c>
      <c r="C23" s="23">
        <f>productos!$C23</f>
        <v>30</v>
      </c>
      <c r="S23" t="s">
        <v>32</v>
      </c>
    </row>
    <row r="24" spans="1:19" ht="26.25" x14ac:dyDescent="0.4">
      <c r="G24" s="28" t="s">
        <v>30</v>
      </c>
      <c r="H24" s="28"/>
      <c r="I24" s="28"/>
      <c r="J24" s="28"/>
      <c r="K24" s="28"/>
    </row>
    <row r="25" spans="1:19" x14ac:dyDescent="0.25">
      <c r="G25" s="12" t="s">
        <v>0</v>
      </c>
      <c r="H25" s="12" t="s">
        <v>1</v>
      </c>
      <c r="I25" s="12" t="s">
        <v>2</v>
      </c>
      <c r="J25" s="12" t="s">
        <v>4</v>
      </c>
      <c r="K25" s="12" t="s">
        <v>5</v>
      </c>
    </row>
    <row r="26" spans="1:19" ht="18.75" x14ac:dyDescent="0.4">
      <c r="G26" s="16">
        <v>10</v>
      </c>
      <c r="H26" s="16" t="str">
        <f>VLOOKUP(G26,$A$2:$C$23,2,FALSE)</f>
        <v>CAJA DE JUGO</v>
      </c>
      <c r="I26" s="17">
        <f>VLOOKUP(H26,$B$2:$C$23,2,FALSE)</f>
        <v>15</v>
      </c>
      <c r="J26" s="16">
        <v>3</v>
      </c>
      <c r="K26" s="17">
        <f>I26*J26</f>
        <v>45</v>
      </c>
    </row>
    <row r="27" spans="1:19" x14ac:dyDescent="0.25">
      <c r="G27" s="1"/>
      <c r="H27" s="1"/>
      <c r="I27" s="1"/>
      <c r="J27" s="1"/>
      <c r="K27" s="3"/>
    </row>
    <row r="28" spans="1:19" x14ac:dyDescent="0.25">
      <c r="G28" s="1"/>
      <c r="H28" s="1"/>
      <c r="I28" s="1"/>
      <c r="J28" s="1"/>
      <c r="K28" s="3"/>
    </row>
    <row r="30" spans="1:19" ht="26.25" x14ac:dyDescent="0.4">
      <c r="G30" s="29" t="s">
        <v>3</v>
      </c>
      <c r="H30" s="29"/>
      <c r="I30" s="29"/>
      <c r="J30" s="29"/>
      <c r="K30" s="29"/>
    </row>
    <row r="31" spans="1:19" x14ac:dyDescent="0.25">
      <c r="A31" s="4"/>
      <c r="G31" s="13" t="s">
        <v>0</v>
      </c>
      <c r="H31" s="13" t="s">
        <v>1</v>
      </c>
      <c r="I31" s="13" t="s">
        <v>2</v>
      </c>
      <c r="J31" s="13" t="s">
        <v>4</v>
      </c>
      <c r="K31" s="13" t="s">
        <v>5</v>
      </c>
      <c r="M31" s="24" t="s">
        <v>33</v>
      </c>
      <c r="N31" t="s">
        <v>36</v>
      </c>
    </row>
    <row r="32" spans="1:19" ht="18.75" x14ac:dyDescent="0.4">
      <c r="A32" s="4"/>
      <c r="G32" s="16">
        <v>10</v>
      </c>
      <c r="H32" s="16" t="str">
        <f t="shared" ref="H32:H37" si="0">VLOOKUP(G32,$A$2:$C$23,2,FALSE)</f>
        <v>CAJA DE JUGO</v>
      </c>
      <c r="I32" s="17">
        <f t="shared" ref="I32:I37" si="1">VLOOKUP(H32,$B$2:$C$23,2,FALSE)</f>
        <v>15</v>
      </c>
      <c r="J32" s="16">
        <v>3</v>
      </c>
      <c r="K32" s="17">
        <f>I32*J32</f>
        <v>45</v>
      </c>
      <c r="M32" s="25" t="s">
        <v>10</v>
      </c>
      <c r="N32" s="26">
        <v>9</v>
      </c>
    </row>
    <row r="33" spans="1:14" ht="18.75" x14ac:dyDescent="0.4">
      <c r="A33" s="4"/>
      <c r="G33" s="16">
        <v>10</v>
      </c>
      <c r="H33" s="16" t="str">
        <f t="shared" si="0"/>
        <v>CAJA DE JUGO</v>
      </c>
      <c r="I33" s="17">
        <f t="shared" si="1"/>
        <v>15</v>
      </c>
      <c r="J33" s="16">
        <v>3</v>
      </c>
      <c r="K33" s="17">
        <f>I33*J33</f>
        <v>45</v>
      </c>
      <c r="M33" s="25" t="s">
        <v>13</v>
      </c>
      <c r="N33" s="26">
        <v>14</v>
      </c>
    </row>
    <row r="34" spans="1:14" ht="18.75" x14ac:dyDescent="0.4">
      <c r="A34" s="4"/>
      <c r="G34" s="16">
        <v>5</v>
      </c>
      <c r="H34" s="16" t="str">
        <f t="shared" si="0"/>
        <v>ACEITE</v>
      </c>
      <c r="I34" s="17">
        <f t="shared" si="1"/>
        <v>15</v>
      </c>
      <c r="J34" s="16">
        <v>1</v>
      </c>
      <c r="K34" s="17">
        <f>I34*J34</f>
        <v>15</v>
      </c>
      <c r="M34" s="25" t="s">
        <v>9</v>
      </c>
      <c r="N34" s="26">
        <v>11</v>
      </c>
    </row>
    <row r="35" spans="1:14" ht="18.75" x14ac:dyDescent="0.4">
      <c r="A35" s="4"/>
      <c r="G35" s="16">
        <v>5</v>
      </c>
      <c r="H35" s="16" t="str">
        <f t="shared" si="0"/>
        <v>ACEITE</v>
      </c>
      <c r="I35" s="17">
        <f t="shared" si="1"/>
        <v>15</v>
      </c>
      <c r="J35" s="16">
        <v>1</v>
      </c>
      <c r="K35" s="17">
        <f>I35*J35</f>
        <v>15</v>
      </c>
      <c r="M35" s="25" t="s">
        <v>26</v>
      </c>
      <c r="N35" s="26">
        <v>11</v>
      </c>
    </row>
    <row r="36" spans="1:14" ht="18.75" x14ac:dyDescent="0.4">
      <c r="A36" s="4"/>
      <c r="G36" s="16">
        <v>23</v>
      </c>
      <c r="H36" s="16" t="str">
        <f t="shared" si="0"/>
        <v>MAIZENA</v>
      </c>
      <c r="I36" s="17">
        <f t="shared" si="1"/>
        <v>30</v>
      </c>
      <c r="J36" s="16">
        <v>2</v>
      </c>
      <c r="K36" s="17">
        <f>I36*J36</f>
        <v>60</v>
      </c>
      <c r="M36" s="25" t="s">
        <v>7</v>
      </c>
      <c r="N36" s="26">
        <v>1</v>
      </c>
    </row>
    <row r="37" spans="1:14" ht="18.75" x14ac:dyDescent="0.4">
      <c r="A37" s="4"/>
      <c r="G37" s="16">
        <v>23</v>
      </c>
      <c r="H37" s="16" t="str">
        <f t="shared" si="0"/>
        <v>MAIZENA</v>
      </c>
      <c r="I37" s="17">
        <f t="shared" si="1"/>
        <v>30</v>
      </c>
      <c r="J37" s="16">
        <v>2</v>
      </c>
      <c r="K37" s="17">
        <f t="shared" ref="K37:K42" si="2">I37*J37</f>
        <v>60</v>
      </c>
      <c r="M37" s="25" t="s">
        <v>31</v>
      </c>
      <c r="N37" s="26">
        <v>4</v>
      </c>
    </row>
    <row r="38" spans="1:14" ht="18.75" x14ac:dyDescent="0.4">
      <c r="A38" s="4"/>
      <c r="G38" s="16">
        <v>4</v>
      </c>
      <c r="H38" s="16" t="str">
        <f>VLOOKUP(G38,$A$2:$C$22,2,FALSE)</f>
        <v>AZUCAR</v>
      </c>
      <c r="I38" s="17">
        <f>VLOOKUP(H38,$B$2:$C$22,2,FALSE)</f>
        <v>20</v>
      </c>
      <c r="J38" s="16">
        <v>2</v>
      </c>
      <c r="K38" s="17">
        <f t="shared" si="2"/>
        <v>40</v>
      </c>
      <c r="M38" s="25" t="s">
        <v>6</v>
      </c>
      <c r="N38" s="26">
        <v>6</v>
      </c>
    </row>
    <row r="39" spans="1:14" ht="18.75" x14ac:dyDescent="0.4">
      <c r="A39" s="4"/>
      <c r="G39" s="16">
        <v>8</v>
      </c>
      <c r="H39" s="16" t="str">
        <f>VLOOKUP(G39,$A$2:$C$22,2,FALSE)</f>
        <v>AGUACATE</v>
      </c>
      <c r="I39" s="17">
        <f>VLOOKUP(H39,$B$2:$C$22,2,FALSE)</f>
        <v>10</v>
      </c>
      <c r="J39" s="16">
        <v>10</v>
      </c>
      <c r="K39" s="17">
        <f t="shared" si="2"/>
        <v>100</v>
      </c>
      <c r="M39" s="25" t="s">
        <v>8</v>
      </c>
      <c r="N39" s="26">
        <v>1</v>
      </c>
    </row>
    <row r="40" spans="1:14" ht="18.75" x14ac:dyDescent="0.4">
      <c r="A40" s="4"/>
      <c r="G40" s="16">
        <v>7</v>
      </c>
      <c r="H40" s="16" t="str">
        <f>VLOOKUP(G40,$A$2:$C$22,2,FALSE)</f>
        <v>LECHE AGRIA</v>
      </c>
      <c r="I40" s="17">
        <f>VLOOKUP(H40,$B$2:$C$22,2,FALSE)</f>
        <v>15</v>
      </c>
      <c r="J40" s="16">
        <v>1</v>
      </c>
      <c r="K40" s="17">
        <f t="shared" si="2"/>
        <v>15</v>
      </c>
      <c r="L40" s="14"/>
      <c r="M40" s="25" t="s">
        <v>27</v>
      </c>
      <c r="N40" s="26">
        <v>16</v>
      </c>
    </row>
    <row r="41" spans="1:14" ht="18.75" x14ac:dyDescent="0.4">
      <c r="A41" s="4"/>
      <c r="G41" s="16">
        <v>4</v>
      </c>
      <c r="H41" s="16" t="str">
        <f>VLOOKUP(G41,$A$2:$C$22,2,FALSE)</f>
        <v>AZUCAR</v>
      </c>
      <c r="I41" s="17">
        <f>VLOOKUP(H41,$B$2:$C$22,2,FALSE)</f>
        <v>20</v>
      </c>
      <c r="J41" s="16">
        <v>1</v>
      </c>
      <c r="K41" s="17">
        <f t="shared" si="2"/>
        <v>20</v>
      </c>
      <c r="L41" s="14"/>
      <c r="M41" s="25" t="s">
        <v>14</v>
      </c>
      <c r="N41" s="26">
        <v>9</v>
      </c>
    </row>
    <row r="42" spans="1:14" ht="18.75" x14ac:dyDescent="0.4">
      <c r="A42" s="4"/>
      <c r="G42" s="16">
        <v>4</v>
      </c>
      <c r="H42" s="16" t="str">
        <f>VLOOKUP(G42,$A$2:$C$22,2,FALSE)</f>
        <v>AZUCAR</v>
      </c>
      <c r="I42" s="17">
        <f>VLOOKUP(H42,$B$2:$C$22,2,FALSE)</f>
        <v>20</v>
      </c>
      <c r="J42" s="16">
        <v>1</v>
      </c>
      <c r="K42" s="17">
        <f t="shared" si="2"/>
        <v>20</v>
      </c>
      <c r="L42" s="14"/>
      <c r="M42" s="25" t="s">
        <v>12</v>
      </c>
      <c r="N42" s="26">
        <v>13</v>
      </c>
    </row>
    <row r="43" spans="1:14" ht="18.75" x14ac:dyDescent="0.4">
      <c r="A43" s="4"/>
      <c r="G43" s="16">
        <v>5</v>
      </c>
      <c r="H43" s="16" t="str">
        <f t="shared" ref="H43:H49" si="3">VLOOKUP(G43,$A$2:$C$22,2,FALSE)</f>
        <v>ACEITE</v>
      </c>
      <c r="I43" s="17">
        <f t="shared" ref="I43:I49" si="4">VLOOKUP(H43,$B$2:$C$22,2,FALSE)</f>
        <v>15</v>
      </c>
      <c r="J43" s="16">
        <v>2</v>
      </c>
      <c r="K43" s="17">
        <f t="shared" ref="K43:K49" si="5">I43*J43</f>
        <v>30</v>
      </c>
      <c r="L43" s="15"/>
      <c r="M43" s="25" t="s">
        <v>16</v>
      </c>
      <c r="N43" s="26">
        <v>12</v>
      </c>
    </row>
    <row r="44" spans="1:14" ht="18.75" x14ac:dyDescent="0.4">
      <c r="A44" s="4"/>
      <c r="G44" s="16">
        <v>1</v>
      </c>
      <c r="H44" s="16" t="str">
        <f t="shared" si="3"/>
        <v>CAJA DE GALLETAS</v>
      </c>
      <c r="I44" s="17">
        <f t="shared" si="4"/>
        <v>20</v>
      </c>
      <c r="J44" s="16">
        <v>1</v>
      </c>
      <c r="K44" s="17">
        <f t="shared" si="5"/>
        <v>20</v>
      </c>
      <c r="M44" s="25" t="s">
        <v>25</v>
      </c>
      <c r="N44" s="26">
        <v>1</v>
      </c>
    </row>
    <row r="45" spans="1:14" ht="18.75" x14ac:dyDescent="0.4">
      <c r="A45" s="4"/>
      <c r="G45" s="16">
        <v>6</v>
      </c>
      <c r="H45" s="16" t="str">
        <f t="shared" si="3"/>
        <v>ARROZ</v>
      </c>
      <c r="I45" s="17">
        <f t="shared" si="4"/>
        <v>20</v>
      </c>
      <c r="J45" s="16">
        <v>1</v>
      </c>
      <c r="K45" s="17">
        <f t="shared" si="5"/>
        <v>20</v>
      </c>
      <c r="M45" s="25" t="s">
        <v>34</v>
      </c>
      <c r="N45" s="26"/>
    </row>
    <row r="46" spans="1:14" ht="18.75" x14ac:dyDescent="0.4">
      <c r="A46" s="4"/>
      <c r="G46" s="16">
        <v>19</v>
      </c>
      <c r="H46" s="16" t="str">
        <f t="shared" si="3"/>
        <v>CREMA PARA CALZADO</v>
      </c>
      <c r="I46" s="17">
        <f t="shared" si="4"/>
        <v>49</v>
      </c>
      <c r="J46" s="16">
        <v>1</v>
      </c>
      <c r="K46" s="17">
        <f t="shared" si="5"/>
        <v>49</v>
      </c>
      <c r="M46" s="25" t="s">
        <v>28</v>
      </c>
      <c r="N46" s="26">
        <v>1</v>
      </c>
    </row>
    <row r="47" spans="1:14" ht="18.75" x14ac:dyDescent="0.4">
      <c r="A47" s="4"/>
      <c r="G47" s="16">
        <v>5</v>
      </c>
      <c r="H47" s="16" t="str">
        <f t="shared" si="3"/>
        <v>ACEITE</v>
      </c>
      <c r="I47" s="17">
        <f t="shared" si="4"/>
        <v>15</v>
      </c>
      <c r="J47" s="16">
        <v>1</v>
      </c>
      <c r="K47" s="17">
        <f t="shared" si="5"/>
        <v>15</v>
      </c>
      <c r="M47" s="25" t="s">
        <v>11</v>
      </c>
      <c r="N47" s="26">
        <v>1</v>
      </c>
    </row>
    <row r="48" spans="1:14" ht="18.75" x14ac:dyDescent="0.4">
      <c r="A48" s="4"/>
      <c r="G48" s="16">
        <v>5</v>
      </c>
      <c r="H48" s="16" t="str">
        <f t="shared" si="3"/>
        <v>ACEITE</v>
      </c>
      <c r="I48" s="17">
        <f t="shared" si="4"/>
        <v>15</v>
      </c>
      <c r="J48" s="16">
        <v>1</v>
      </c>
      <c r="K48" s="17">
        <f t="shared" si="5"/>
        <v>15</v>
      </c>
      <c r="M48" s="25" t="s">
        <v>37</v>
      </c>
      <c r="N48" s="26">
        <v>2</v>
      </c>
    </row>
    <row r="49" spans="1:14" ht="18.75" x14ac:dyDescent="0.4">
      <c r="A49" s="4"/>
      <c r="G49" s="16">
        <v>4</v>
      </c>
      <c r="H49" s="16" t="str">
        <f t="shared" si="3"/>
        <v>AZUCAR</v>
      </c>
      <c r="I49" s="17">
        <f t="shared" si="4"/>
        <v>20</v>
      </c>
      <c r="J49" s="16">
        <v>1</v>
      </c>
      <c r="K49" s="17">
        <f t="shared" si="5"/>
        <v>20</v>
      </c>
      <c r="M49" s="25" t="s">
        <v>35</v>
      </c>
      <c r="N49" s="26">
        <v>112</v>
      </c>
    </row>
    <row r="50" spans="1:14" ht="18.75" x14ac:dyDescent="0.4">
      <c r="A50" s="4"/>
      <c r="G50" s="16">
        <v>4</v>
      </c>
      <c r="H50" s="16" t="str">
        <f t="shared" ref="H50:H57" si="6">VLOOKUP(G50,$A$2:$C$22,2,FALSE)</f>
        <v>AZUCAR</v>
      </c>
      <c r="I50" s="17">
        <f t="shared" ref="I50:I57" si="7">VLOOKUP(H50,$B$2:$C$22,2,FALSE)</f>
        <v>20</v>
      </c>
      <c r="J50" s="16">
        <v>5</v>
      </c>
      <c r="K50" s="17">
        <f t="shared" ref="K50:K57" si="8">I50*J50</f>
        <v>100</v>
      </c>
    </row>
    <row r="51" spans="1:14" ht="18.75" x14ac:dyDescent="0.4">
      <c r="A51" s="4"/>
      <c r="G51" s="16">
        <v>1</v>
      </c>
      <c r="H51" s="16" t="str">
        <f t="shared" si="6"/>
        <v>CAJA DE GALLETAS</v>
      </c>
      <c r="I51" s="17">
        <f t="shared" si="7"/>
        <v>20</v>
      </c>
      <c r="J51" s="16">
        <v>5</v>
      </c>
      <c r="K51" s="17">
        <f t="shared" si="8"/>
        <v>100</v>
      </c>
    </row>
    <row r="52" spans="1:14" ht="18.75" x14ac:dyDescent="0.4">
      <c r="A52" s="4"/>
      <c r="G52" s="16">
        <v>9</v>
      </c>
      <c r="H52" s="16" t="str">
        <f t="shared" si="6"/>
        <v>LAPICERO</v>
      </c>
      <c r="I52" s="17">
        <f t="shared" si="7"/>
        <v>6</v>
      </c>
      <c r="J52" s="16">
        <v>5</v>
      </c>
      <c r="K52" s="17">
        <f t="shared" si="8"/>
        <v>30</v>
      </c>
    </row>
    <row r="53" spans="1:14" ht="18.75" x14ac:dyDescent="0.4">
      <c r="A53" s="4"/>
      <c r="G53" s="16">
        <v>9</v>
      </c>
      <c r="H53" s="16" t="str">
        <f t="shared" si="6"/>
        <v>LAPICERO</v>
      </c>
      <c r="I53" s="17">
        <f t="shared" si="7"/>
        <v>6</v>
      </c>
      <c r="J53" s="16">
        <v>4</v>
      </c>
      <c r="K53" s="17">
        <f t="shared" si="8"/>
        <v>24</v>
      </c>
    </row>
    <row r="54" spans="1:14" ht="18.75" x14ac:dyDescent="0.4">
      <c r="A54" s="4"/>
      <c r="G54" s="16">
        <v>8</v>
      </c>
      <c r="H54" s="16" t="str">
        <f t="shared" si="6"/>
        <v>AGUACATE</v>
      </c>
      <c r="I54" s="17">
        <f t="shared" si="7"/>
        <v>10</v>
      </c>
      <c r="J54" s="16">
        <v>4</v>
      </c>
      <c r="K54" s="17">
        <f t="shared" si="8"/>
        <v>40</v>
      </c>
    </row>
    <row r="55" spans="1:14" ht="18.75" x14ac:dyDescent="0.4">
      <c r="A55" s="4"/>
      <c r="G55" s="16">
        <v>11</v>
      </c>
      <c r="H55" s="16" t="str">
        <f t="shared" si="6"/>
        <v>PASTA DE DIENTES</v>
      </c>
      <c r="I55" s="17">
        <f t="shared" si="7"/>
        <v>35</v>
      </c>
      <c r="J55" s="16">
        <v>4</v>
      </c>
      <c r="K55" s="17">
        <f t="shared" si="8"/>
        <v>140</v>
      </c>
    </row>
    <row r="56" spans="1:14" ht="18.75" x14ac:dyDescent="0.4">
      <c r="A56" s="4"/>
      <c r="G56" s="16">
        <v>11</v>
      </c>
      <c r="H56" s="16" t="str">
        <f t="shared" si="6"/>
        <v>PASTA DE DIENTES</v>
      </c>
      <c r="I56" s="17">
        <f t="shared" si="7"/>
        <v>35</v>
      </c>
      <c r="J56" s="16">
        <v>4</v>
      </c>
      <c r="K56" s="17">
        <f t="shared" si="8"/>
        <v>140</v>
      </c>
    </row>
    <row r="57" spans="1:14" ht="18.75" x14ac:dyDescent="0.4">
      <c r="A57" s="4"/>
      <c r="G57" s="16">
        <v>11</v>
      </c>
      <c r="H57" s="16" t="str">
        <f t="shared" si="6"/>
        <v>PASTA DE DIENTES</v>
      </c>
      <c r="I57" s="17">
        <f t="shared" si="7"/>
        <v>35</v>
      </c>
      <c r="J57" s="16">
        <v>4</v>
      </c>
      <c r="K57" s="17">
        <f t="shared" si="8"/>
        <v>140</v>
      </c>
    </row>
    <row r="58" spans="1:14" ht="18.75" x14ac:dyDescent="0.4">
      <c r="A58" s="4"/>
      <c r="G58" s="16">
        <v>5</v>
      </c>
      <c r="H58" s="16" t="str">
        <f t="shared" ref="H58:H71" si="9">VLOOKUP(G58,$A$2:$C$22,2,FALSE)</f>
        <v>ACEITE</v>
      </c>
      <c r="I58" s="17">
        <f t="shared" ref="I58:I71" si="10">VLOOKUP(H58,$B$2:$C$22,2,FALSE)</f>
        <v>15</v>
      </c>
      <c r="J58" s="16">
        <v>4</v>
      </c>
      <c r="K58" s="17">
        <f t="shared" ref="K58:K71" si="11">I58*J58</f>
        <v>60</v>
      </c>
    </row>
    <row r="59" spans="1:14" ht="18.75" x14ac:dyDescent="0.4">
      <c r="A59" s="4"/>
      <c r="G59" s="16">
        <v>18</v>
      </c>
      <c r="H59" s="16" t="str">
        <f t="shared" si="9"/>
        <v>HUEVOS</v>
      </c>
      <c r="I59" s="17">
        <f t="shared" si="10"/>
        <v>10</v>
      </c>
      <c r="J59" s="16">
        <v>4</v>
      </c>
      <c r="K59" s="17">
        <f t="shared" si="11"/>
        <v>40</v>
      </c>
    </row>
    <row r="60" spans="1:14" ht="18.75" x14ac:dyDescent="0.4">
      <c r="A60" s="4"/>
      <c r="G60" s="16">
        <v>18</v>
      </c>
      <c r="H60" s="16" t="str">
        <f t="shared" si="9"/>
        <v>HUEVOS</v>
      </c>
      <c r="I60" s="17">
        <f t="shared" si="10"/>
        <v>10</v>
      </c>
      <c r="J60" s="16">
        <v>4</v>
      </c>
      <c r="K60" s="17">
        <f t="shared" si="11"/>
        <v>40</v>
      </c>
    </row>
    <row r="61" spans="1:14" ht="18.75" x14ac:dyDescent="0.4">
      <c r="A61" s="4"/>
      <c r="G61" s="16">
        <v>18</v>
      </c>
      <c r="H61" s="16" t="str">
        <f t="shared" si="9"/>
        <v>HUEVOS</v>
      </c>
      <c r="I61" s="17">
        <f t="shared" si="10"/>
        <v>10</v>
      </c>
      <c r="J61" s="16">
        <v>4</v>
      </c>
      <c r="K61" s="17">
        <f t="shared" si="11"/>
        <v>40</v>
      </c>
    </row>
    <row r="62" spans="1:14" ht="18.75" x14ac:dyDescent="0.4">
      <c r="A62" s="4"/>
      <c r="G62" s="16">
        <v>18</v>
      </c>
      <c r="H62" s="16" t="str">
        <f t="shared" si="9"/>
        <v>HUEVOS</v>
      </c>
      <c r="I62" s="17">
        <f t="shared" si="10"/>
        <v>10</v>
      </c>
      <c r="J62" s="16">
        <v>4</v>
      </c>
      <c r="K62" s="17">
        <f t="shared" si="11"/>
        <v>40</v>
      </c>
    </row>
    <row r="63" spans="1:14" ht="18.75" x14ac:dyDescent="0.4">
      <c r="G63" s="16">
        <v>17</v>
      </c>
      <c r="H63" s="16" t="str">
        <f t="shared" si="9"/>
        <v>BORRADOR DE GOMA</v>
      </c>
      <c r="I63" s="17">
        <f t="shared" si="10"/>
        <v>13</v>
      </c>
      <c r="J63" s="16">
        <v>11</v>
      </c>
      <c r="K63" s="17">
        <f t="shared" si="11"/>
        <v>143</v>
      </c>
    </row>
    <row r="64" spans="1:14" ht="18.75" x14ac:dyDescent="0.4">
      <c r="G64" s="16">
        <v>7</v>
      </c>
      <c r="H64" s="16" t="str">
        <f t="shared" si="9"/>
        <v>LECHE AGRIA</v>
      </c>
      <c r="I64" s="17">
        <f t="shared" si="10"/>
        <v>15</v>
      </c>
      <c r="J64" s="16">
        <v>11</v>
      </c>
      <c r="K64" s="17">
        <f t="shared" si="11"/>
        <v>165</v>
      </c>
    </row>
    <row r="65" spans="1:11" ht="18.75" x14ac:dyDescent="0.4">
      <c r="G65" s="16">
        <v>7</v>
      </c>
      <c r="H65" s="16" t="str">
        <f t="shared" si="9"/>
        <v>LECHE AGRIA</v>
      </c>
      <c r="I65" s="17">
        <f t="shared" si="10"/>
        <v>15</v>
      </c>
      <c r="J65" s="16">
        <v>1</v>
      </c>
      <c r="K65" s="17">
        <f t="shared" si="11"/>
        <v>15</v>
      </c>
    </row>
    <row r="66" spans="1:11" ht="18.75" x14ac:dyDescent="0.4">
      <c r="G66" s="16">
        <v>3</v>
      </c>
      <c r="H66" s="16" t="str">
        <f t="shared" si="9"/>
        <v>GEL DE CABELLO</v>
      </c>
      <c r="I66" s="17">
        <f t="shared" si="10"/>
        <v>5</v>
      </c>
      <c r="J66" s="16">
        <v>1</v>
      </c>
      <c r="K66" s="17">
        <f t="shared" si="11"/>
        <v>5</v>
      </c>
    </row>
    <row r="67" spans="1:11" ht="18.75" x14ac:dyDescent="0.4">
      <c r="A67" s="1"/>
      <c r="B67" s="1"/>
      <c r="C67" s="1"/>
      <c r="D67" s="1"/>
      <c r="E67" s="3"/>
      <c r="G67" s="18">
        <v>4</v>
      </c>
      <c r="H67" s="19" t="str">
        <f t="shared" si="9"/>
        <v>AZUCAR</v>
      </c>
      <c r="I67" s="20">
        <f t="shared" si="10"/>
        <v>20</v>
      </c>
      <c r="J67" s="21">
        <v>1</v>
      </c>
      <c r="K67" s="22">
        <f t="shared" si="11"/>
        <v>20</v>
      </c>
    </row>
    <row r="68" spans="1:11" ht="18.75" x14ac:dyDescent="0.4">
      <c r="A68" s="1"/>
      <c r="B68" s="1"/>
      <c r="C68" s="3"/>
      <c r="D68" s="1"/>
      <c r="E68" s="3"/>
      <c r="G68" s="18">
        <v>5</v>
      </c>
      <c r="H68" s="19" t="str">
        <f t="shared" si="9"/>
        <v>ACEITE</v>
      </c>
      <c r="I68" s="20">
        <f t="shared" si="10"/>
        <v>15</v>
      </c>
      <c r="J68" s="21">
        <v>1</v>
      </c>
      <c r="K68" s="22">
        <f t="shared" si="11"/>
        <v>15</v>
      </c>
    </row>
    <row r="69" spans="1:11" ht="18.75" x14ac:dyDescent="0.4">
      <c r="A69" s="1"/>
      <c r="B69" s="1"/>
      <c r="C69" s="3"/>
      <c r="D69" s="1"/>
      <c r="E69" s="3"/>
      <c r="G69" s="18">
        <v>16</v>
      </c>
      <c r="H69" s="19" t="str">
        <f t="shared" si="9"/>
        <v>SAL</v>
      </c>
      <c r="I69" s="20">
        <f t="shared" si="10"/>
        <v>18</v>
      </c>
      <c r="J69" s="21">
        <v>1</v>
      </c>
      <c r="K69" s="22">
        <f t="shared" si="11"/>
        <v>18</v>
      </c>
    </row>
    <row r="70" spans="1:11" ht="18.75" x14ac:dyDescent="0.4">
      <c r="C70" s="2"/>
      <c r="E70" s="2"/>
      <c r="G70" s="18">
        <v>2</v>
      </c>
      <c r="H70" s="19" t="str">
        <f t="shared" si="9"/>
        <v>BOTELLA DE AGUA</v>
      </c>
      <c r="I70" s="20">
        <f t="shared" si="10"/>
        <v>10</v>
      </c>
      <c r="J70" s="21">
        <v>1</v>
      </c>
      <c r="K70" s="22">
        <f t="shared" si="11"/>
        <v>10</v>
      </c>
    </row>
    <row r="71" spans="1:11" ht="18.75" x14ac:dyDescent="0.4">
      <c r="C71" s="2"/>
      <c r="E71" s="2"/>
      <c r="G71" s="18">
        <v>21</v>
      </c>
      <c r="H71" s="19" t="str">
        <f t="shared" si="9"/>
        <v>CAFÉ</v>
      </c>
      <c r="I71" s="20">
        <f t="shared" si="10"/>
        <v>60</v>
      </c>
      <c r="J71" s="21">
        <v>2</v>
      </c>
      <c r="K71" s="22">
        <f t="shared" si="11"/>
        <v>120</v>
      </c>
    </row>
    <row r="72" spans="1:11" ht="18.75" x14ac:dyDescent="0.4">
      <c r="G72" s="18">
        <v>21</v>
      </c>
      <c r="H72" s="19" t="str">
        <f t="shared" ref="H72" si="12">VLOOKUP(G72,$A$2:$C$22,2,FALSE)</f>
        <v>CAFÉ</v>
      </c>
      <c r="I72" s="20">
        <f t="shared" ref="I72" si="13">VLOOKUP(H72,$B$2:$C$22,2,FALSE)</f>
        <v>60</v>
      </c>
      <c r="J72" s="21">
        <v>2</v>
      </c>
      <c r="K72" s="22">
        <f t="shared" ref="K72" si="14">I72*J72</f>
        <v>120</v>
      </c>
    </row>
    <row r="73" spans="1:11" ht="18.75" x14ac:dyDescent="0.4">
      <c r="G73" s="16"/>
      <c r="H73" s="16"/>
      <c r="I73" s="17"/>
      <c r="J73" s="16"/>
      <c r="K73" s="17"/>
    </row>
    <row r="74" spans="1:11" ht="18.75" x14ac:dyDescent="0.4">
      <c r="G74" s="16"/>
      <c r="H74" s="16"/>
      <c r="I74" s="17"/>
      <c r="J74" s="16"/>
      <c r="K74" s="17"/>
    </row>
    <row r="75" spans="1:11" ht="18.75" x14ac:dyDescent="0.4">
      <c r="G75" s="16"/>
      <c r="H75" s="16"/>
      <c r="I75" s="17"/>
      <c r="J75" s="16"/>
      <c r="K75" s="17"/>
    </row>
    <row r="76" spans="1:11" ht="18.75" x14ac:dyDescent="0.4">
      <c r="G76" s="16"/>
      <c r="H76" s="16"/>
      <c r="I76" s="17"/>
      <c r="J76" s="16"/>
      <c r="K76" s="17"/>
    </row>
    <row r="77" spans="1:11" ht="18.75" x14ac:dyDescent="0.4">
      <c r="G77" s="16"/>
      <c r="H77" s="16"/>
      <c r="I77" s="17"/>
      <c r="J77" s="16"/>
      <c r="K77" s="17"/>
    </row>
    <row r="78" spans="1:11" ht="18.75" x14ac:dyDescent="0.4">
      <c r="G78" s="16"/>
      <c r="H78" s="16"/>
      <c r="I78" s="17"/>
      <c r="J78" s="16"/>
      <c r="K78" s="17"/>
    </row>
    <row r="79" spans="1:11" ht="18.75" x14ac:dyDescent="0.4">
      <c r="G79" s="16"/>
      <c r="H79" s="16"/>
      <c r="I79" s="17"/>
      <c r="J79" s="16"/>
      <c r="K79" s="17"/>
    </row>
    <row r="80" spans="1:11" ht="18.75" x14ac:dyDescent="0.4">
      <c r="G80" s="16"/>
      <c r="H80" s="16"/>
      <c r="I80" s="17"/>
      <c r="J80" s="16"/>
      <c r="K80" s="17"/>
    </row>
    <row r="81" spans="7:11" ht="18.75" x14ac:dyDescent="0.4">
      <c r="G81" s="16"/>
      <c r="H81" s="16"/>
      <c r="I81" s="17"/>
      <c r="J81" s="16"/>
      <c r="K81" s="17"/>
    </row>
    <row r="82" spans="7:11" ht="18.75" x14ac:dyDescent="0.4">
      <c r="G82" s="16"/>
      <c r="H82" s="16"/>
      <c r="I82" s="17"/>
      <c r="J82" s="16"/>
      <c r="K82" s="17"/>
    </row>
    <row r="83" spans="7:11" ht="18.75" x14ac:dyDescent="0.4">
      <c r="G83" s="16"/>
      <c r="H83" s="16"/>
      <c r="I83" s="17"/>
      <c r="J83" s="16"/>
      <c r="K83" s="17"/>
    </row>
    <row r="84" spans="7:11" ht="18.75" x14ac:dyDescent="0.4">
      <c r="G84" s="16"/>
      <c r="H84" s="16"/>
      <c r="I84" s="17"/>
      <c r="J84" s="16"/>
      <c r="K84" s="17"/>
    </row>
    <row r="85" spans="7:11" ht="18.75" x14ac:dyDescent="0.4">
      <c r="G85" s="16"/>
      <c r="H85" s="16"/>
      <c r="I85" s="16"/>
      <c r="J85" s="16"/>
      <c r="K85" s="17"/>
    </row>
    <row r="86" spans="7:11" ht="18.75" x14ac:dyDescent="0.4">
      <c r="G86" s="16"/>
      <c r="H86" s="16"/>
      <c r="I86" s="16"/>
      <c r="J86" s="16"/>
      <c r="K86" s="17"/>
    </row>
    <row r="87" spans="7:11" x14ac:dyDescent="0.25">
      <c r="G87" s="1"/>
      <c r="H87" s="1"/>
      <c r="I87" s="1"/>
      <c r="J87" s="1"/>
      <c r="K87" s="3"/>
    </row>
    <row r="88" spans="7:11" x14ac:dyDescent="0.25">
      <c r="G88" s="1"/>
      <c r="H88" s="1"/>
      <c r="I88" s="1"/>
      <c r="J88" s="1"/>
      <c r="K88" s="3"/>
    </row>
    <row r="89" spans="7:11" x14ac:dyDescent="0.25">
      <c r="G89" s="1"/>
      <c r="H89" s="1"/>
      <c r="I89" s="1"/>
      <c r="J89" s="1"/>
      <c r="K89" s="3"/>
    </row>
    <row r="90" spans="7:11" x14ac:dyDescent="0.25">
      <c r="G90" s="1"/>
      <c r="H90" s="1"/>
      <c r="I90" s="1"/>
      <c r="J90" s="1"/>
      <c r="K90" s="3"/>
    </row>
    <row r="91" spans="7:11" x14ac:dyDescent="0.25">
      <c r="G91" s="1"/>
      <c r="H91" s="1"/>
      <c r="I91" s="1"/>
      <c r="J91" s="1"/>
      <c r="K91" s="3"/>
    </row>
    <row r="92" spans="7:11" x14ac:dyDescent="0.25">
      <c r="G92" s="1"/>
      <c r="H92" s="1"/>
      <c r="I92" s="1"/>
      <c r="J92" s="1"/>
      <c r="K92" s="3"/>
    </row>
    <row r="93" spans="7:11" x14ac:dyDescent="0.25">
      <c r="G93" s="1"/>
      <c r="H93" s="1"/>
      <c r="I93" s="1"/>
      <c r="J93" s="1"/>
      <c r="K93" s="3"/>
    </row>
    <row r="94" spans="7:11" x14ac:dyDescent="0.25">
      <c r="G94" s="1"/>
      <c r="H94" s="1"/>
      <c r="I94" s="1"/>
      <c r="J94" s="1"/>
      <c r="K94" s="3"/>
    </row>
    <row r="95" spans="7:11" x14ac:dyDescent="0.25">
      <c r="G95" s="1"/>
      <c r="H95" s="1"/>
      <c r="I95" s="1"/>
      <c r="J95" s="1"/>
      <c r="K95" s="3"/>
    </row>
  </sheetData>
  <mergeCells count="2">
    <mergeCell ref="G24:K24"/>
    <mergeCell ref="G30:K30"/>
  </mergeCells>
  <pageMargins left="0.7" right="0.7" top="0.75" bottom="0.75" header="0.3" footer="0.3"/>
  <pageSetup paperSize="9" orientation="portrait" horizontalDpi="0" verticalDpi="0" r:id="rId2"/>
  <drawing r:id="rId3"/>
  <picture r:id="rId4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rgb="FF00B050"/>
  </sheetPr>
  <dimension ref="A1:K23"/>
  <sheetViews>
    <sheetView showGridLines="0" topLeftCell="A2" zoomScaleNormal="100" workbookViewId="0">
      <selection activeCell="D23" sqref="D23"/>
    </sheetView>
  </sheetViews>
  <sheetFormatPr baseColWidth="10" defaultRowHeight="15" x14ac:dyDescent="0.25"/>
  <cols>
    <col min="2" max="2" width="26.85546875" customWidth="1"/>
    <col min="7" max="7" width="28.28515625" customWidth="1"/>
  </cols>
  <sheetData>
    <row r="1" spans="1:11" x14ac:dyDescent="0.25">
      <c r="A1" s="9" t="s">
        <v>0</v>
      </c>
      <c r="B1" s="10" t="s">
        <v>1</v>
      </c>
      <c r="C1" s="11" t="s">
        <v>2</v>
      </c>
    </row>
    <row r="2" spans="1:11" x14ac:dyDescent="0.25">
      <c r="A2" s="5">
        <f>ROW(A1)</f>
        <v>1</v>
      </c>
      <c r="B2" s="7" t="s">
        <v>6</v>
      </c>
      <c r="C2" s="8">
        <v>20</v>
      </c>
      <c r="F2" t="s">
        <v>18</v>
      </c>
    </row>
    <row r="3" spans="1:11" x14ac:dyDescent="0.25">
      <c r="A3" s="5">
        <f t="shared" ref="A3:A22" si="0">ROW(A2)</f>
        <v>2</v>
      </c>
      <c r="B3" s="7" t="s">
        <v>7</v>
      </c>
      <c r="C3" s="8">
        <v>10</v>
      </c>
      <c r="F3" s="1">
        <v>1</v>
      </c>
      <c r="G3" s="27" t="s">
        <v>19</v>
      </c>
      <c r="H3" s="27"/>
      <c r="I3" s="27"/>
      <c r="J3" s="27"/>
      <c r="K3" s="27"/>
    </row>
    <row r="4" spans="1:11" x14ac:dyDescent="0.25">
      <c r="A4" s="5">
        <f t="shared" si="0"/>
        <v>3</v>
      </c>
      <c r="B4" s="7" t="s">
        <v>8</v>
      </c>
      <c r="C4" s="8">
        <v>5</v>
      </c>
      <c r="F4" s="1">
        <v>2</v>
      </c>
      <c r="G4" s="27" t="s">
        <v>20</v>
      </c>
      <c r="H4" s="27"/>
      <c r="I4" s="27"/>
      <c r="J4" s="27"/>
      <c r="K4" s="27"/>
    </row>
    <row r="5" spans="1:11" x14ac:dyDescent="0.25">
      <c r="A5" s="5">
        <f t="shared" si="0"/>
        <v>4</v>
      </c>
      <c r="B5" s="7" t="s">
        <v>9</v>
      </c>
      <c r="C5" s="8">
        <v>20</v>
      </c>
      <c r="F5" s="1">
        <v>3</v>
      </c>
      <c r="G5" s="27" t="s">
        <v>21</v>
      </c>
      <c r="H5" s="27"/>
      <c r="I5" s="27"/>
      <c r="J5" s="27"/>
      <c r="K5" s="27"/>
    </row>
    <row r="6" spans="1:11" x14ac:dyDescent="0.25">
      <c r="A6" s="5">
        <f t="shared" si="0"/>
        <v>5</v>
      </c>
      <c r="B6" s="7" t="s">
        <v>10</v>
      </c>
      <c r="C6" s="8">
        <v>15</v>
      </c>
    </row>
    <row r="7" spans="1:11" x14ac:dyDescent="0.25">
      <c r="A7" s="5">
        <f t="shared" si="0"/>
        <v>6</v>
      </c>
      <c r="B7" s="7" t="s">
        <v>11</v>
      </c>
      <c r="C7" s="8">
        <v>20</v>
      </c>
    </row>
    <row r="8" spans="1:11" x14ac:dyDescent="0.25">
      <c r="A8" s="5">
        <f t="shared" si="0"/>
        <v>7</v>
      </c>
      <c r="B8" s="7" t="s">
        <v>12</v>
      </c>
      <c r="C8" s="8">
        <v>15</v>
      </c>
    </row>
    <row r="9" spans="1:11" x14ac:dyDescent="0.25">
      <c r="A9" s="5">
        <f t="shared" si="0"/>
        <v>8</v>
      </c>
      <c r="B9" s="7" t="s">
        <v>13</v>
      </c>
      <c r="C9" s="8">
        <v>10</v>
      </c>
    </row>
    <row r="10" spans="1:11" x14ac:dyDescent="0.25">
      <c r="A10" s="5">
        <f t="shared" si="0"/>
        <v>9</v>
      </c>
      <c r="B10" s="7" t="s">
        <v>14</v>
      </c>
      <c r="C10" s="8">
        <v>6</v>
      </c>
    </row>
    <row r="11" spans="1:11" x14ac:dyDescent="0.25">
      <c r="A11" s="5">
        <f t="shared" si="0"/>
        <v>10</v>
      </c>
      <c r="B11" s="7" t="s">
        <v>15</v>
      </c>
      <c r="C11" s="8">
        <v>15</v>
      </c>
    </row>
    <row r="12" spans="1:11" x14ac:dyDescent="0.25">
      <c r="A12" s="5">
        <f t="shared" si="0"/>
        <v>11</v>
      </c>
      <c r="B12" s="7" t="s">
        <v>16</v>
      </c>
      <c r="C12" s="8">
        <v>35</v>
      </c>
    </row>
    <row r="13" spans="1:11" x14ac:dyDescent="0.25">
      <c r="A13" s="5">
        <f t="shared" si="0"/>
        <v>12</v>
      </c>
      <c r="B13" s="7" t="s">
        <v>17</v>
      </c>
      <c r="C13" s="8">
        <v>40</v>
      </c>
    </row>
    <row r="14" spans="1:11" x14ac:dyDescent="0.25">
      <c r="A14" s="5">
        <f t="shared" si="0"/>
        <v>13</v>
      </c>
      <c r="B14" s="7" t="s">
        <v>22</v>
      </c>
      <c r="C14" s="8">
        <v>60</v>
      </c>
    </row>
    <row r="15" spans="1:11" x14ac:dyDescent="0.25">
      <c r="A15" s="5">
        <f t="shared" si="0"/>
        <v>14</v>
      </c>
      <c r="B15" s="7" t="s">
        <v>23</v>
      </c>
      <c r="C15" s="8">
        <v>55</v>
      </c>
    </row>
    <row r="16" spans="1:11" x14ac:dyDescent="0.25">
      <c r="A16" s="5">
        <f t="shared" si="0"/>
        <v>15</v>
      </c>
      <c r="B16" s="7" t="s">
        <v>24</v>
      </c>
      <c r="C16" s="8">
        <v>20</v>
      </c>
    </row>
    <row r="17" spans="1:3" x14ac:dyDescent="0.25">
      <c r="A17" s="5">
        <f t="shared" si="0"/>
        <v>16</v>
      </c>
      <c r="B17" s="7" t="s">
        <v>25</v>
      </c>
      <c r="C17" s="8">
        <v>18</v>
      </c>
    </row>
    <row r="18" spans="1:3" x14ac:dyDescent="0.25">
      <c r="A18" s="5">
        <f t="shared" si="0"/>
        <v>17</v>
      </c>
      <c r="B18" s="7" t="s">
        <v>26</v>
      </c>
      <c r="C18" s="8">
        <v>13</v>
      </c>
    </row>
    <row r="19" spans="1:3" x14ac:dyDescent="0.25">
      <c r="A19" s="5">
        <f t="shared" si="0"/>
        <v>18</v>
      </c>
      <c r="B19" s="7" t="s">
        <v>27</v>
      </c>
      <c r="C19" s="8">
        <v>10</v>
      </c>
    </row>
    <row r="20" spans="1:3" x14ac:dyDescent="0.25">
      <c r="A20" s="5">
        <f t="shared" si="0"/>
        <v>19</v>
      </c>
      <c r="B20" s="7" t="s">
        <v>28</v>
      </c>
      <c r="C20" s="8">
        <v>49</v>
      </c>
    </row>
    <row r="21" spans="1:3" x14ac:dyDescent="0.25">
      <c r="A21" s="5">
        <f t="shared" si="0"/>
        <v>20</v>
      </c>
      <c r="B21" s="6" t="s">
        <v>29</v>
      </c>
      <c r="C21" s="8">
        <v>6</v>
      </c>
    </row>
    <row r="22" spans="1:3" x14ac:dyDescent="0.25">
      <c r="A22" s="5">
        <f t="shared" si="0"/>
        <v>21</v>
      </c>
      <c r="B22" s="6" t="s">
        <v>31</v>
      </c>
      <c r="C22" s="8">
        <v>60</v>
      </c>
    </row>
    <row r="23" spans="1:3" x14ac:dyDescent="0.25">
      <c r="A23" s="5">
        <v>23</v>
      </c>
      <c r="B23" s="6" t="s">
        <v>37</v>
      </c>
      <c r="C23" s="8">
        <v>30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MENU</vt:lpstr>
      <vt:lpstr>ventas</vt:lpstr>
      <vt:lpstr>productos</vt:lpstr>
    </vt:vector>
  </TitlesOfParts>
  <Company>CENTRO DIGITAL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CENTRO DIGITAL</dc:creator>
  <cp:lastModifiedBy>CENTRO DIGITAL</cp:lastModifiedBy>
  <dcterms:created xsi:type="dcterms:W3CDTF">2024-07-11T00:27:57Z</dcterms:created>
  <dcterms:modified xsi:type="dcterms:W3CDTF">2024-07-21T21:44:18Z</dcterms:modified>
</cp:coreProperties>
</file>